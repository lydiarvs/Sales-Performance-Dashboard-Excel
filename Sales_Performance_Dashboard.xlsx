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
    </mc:Choice>
  </mc:AlternateContent>
  <xr:revisionPtr revIDLastSave="0" documentId="8_{583514CB-8A65-4B0E-808B-F39A30A278F4}" xr6:coauthVersionLast="47" xr6:coauthVersionMax="47" xr10:uidLastSave="{00000000-0000-0000-0000-000000000000}"/>
  <bookViews>
    <workbookView xWindow="-108" yWindow="-108" windowWidth="23256" windowHeight="12456" firstSheet="2" activeTab="2" xr2:uid="{00000000-000D-0000-FFFF-FFFF00000000}"/>
  </bookViews>
  <sheets>
    <sheet name="Top Products" sheetId="5" r:id="rId1"/>
    <sheet name="Revenue by Salesperson" sheetId="7" r:id="rId2"/>
    <sheet name="Dashboard" sheetId="8" r:id="rId3"/>
    <sheet name="SalesData" sheetId="1" r:id="rId4"/>
    <sheet name="Revenue by month" sheetId="2" r:id="rId5"/>
    <sheet name="Profit by region" sheetId="3" r:id="rId6"/>
    <sheet name="Sales by category" sheetId="4" r:id="rId7"/>
  </sheets>
  <definedNames>
    <definedName name="Slicer_Category">#N/A</definedName>
    <definedName name="Slicer_Region">#N/A</definedName>
    <definedName name="Slicer_Salespers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8" l="1"/>
  <c r="H5" i="8"/>
  <c r="F5" i="8"/>
  <c r="D5" i="8"/>
  <c r="B5" i="8"/>
</calcChain>
</file>

<file path=xl/sharedStrings.xml><?xml version="1.0" encoding="utf-8"?>
<sst xmlns="http://schemas.openxmlformats.org/spreadsheetml/2006/main" count="6073" uniqueCount="1212">
  <si>
    <t>Order ID</t>
  </si>
  <si>
    <t>Order Date</t>
  </si>
  <si>
    <t>Customer Name</t>
  </si>
  <si>
    <t>Region</t>
  </si>
  <si>
    <t>Salesperson</t>
  </si>
  <si>
    <t>Category</t>
  </si>
  <si>
    <t>Product</t>
  </si>
  <si>
    <t>Quantity</t>
  </si>
  <si>
    <t>Cost Price</t>
  </si>
  <si>
    <t>Selling Price</t>
  </si>
  <si>
    <t>Revenue</t>
  </si>
  <si>
    <t>Cost</t>
  </si>
  <si>
    <t>Profit</t>
  </si>
  <si>
    <t>Profit %</t>
  </si>
  <si>
    <t>ORD1000</t>
  </si>
  <si>
    <t>Customer 10</t>
  </si>
  <si>
    <t>East</t>
  </si>
  <si>
    <t>Priya</t>
  </si>
  <si>
    <t>Accessories</t>
  </si>
  <si>
    <t>Webcam</t>
  </si>
  <si>
    <t>ORD1001</t>
  </si>
  <si>
    <t>Customer 18</t>
  </si>
  <si>
    <t>West</t>
  </si>
  <si>
    <t>Amit</t>
  </si>
  <si>
    <t>Electronics</t>
  </si>
  <si>
    <t>Tablet</t>
  </si>
  <si>
    <t>ORD1002</t>
  </si>
  <si>
    <t>Customer 127</t>
  </si>
  <si>
    <t>Sneha</t>
  </si>
  <si>
    <t>Monitor</t>
  </si>
  <si>
    <t>ORD1003</t>
  </si>
  <si>
    <t>Customer 149</t>
  </si>
  <si>
    <t>Arun</t>
  </si>
  <si>
    <t>ORD1004</t>
  </si>
  <si>
    <t>Customer 99</t>
  </si>
  <si>
    <t>Central</t>
  </si>
  <si>
    <t>Rahul</t>
  </si>
  <si>
    <t>Mouse</t>
  </si>
  <si>
    <t>ORD1005</t>
  </si>
  <si>
    <t>Customer 128</t>
  </si>
  <si>
    <t>North</t>
  </si>
  <si>
    <t>Office</t>
  </si>
  <si>
    <t>Printer</t>
  </si>
  <si>
    <t>ORD1006</t>
  </si>
  <si>
    <t>Customer 104</t>
  </si>
  <si>
    <t>ORD1007</t>
  </si>
  <si>
    <t>South</t>
  </si>
  <si>
    <t>Storage</t>
  </si>
  <si>
    <t>SSD</t>
  </si>
  <si>
    <t>ORD1008</t>
  </si>
  <si>
    <t>Customer 141</t>
  </si>
  <si>
    <t>ORD1009</t>
  </si>
  <si>
    <t>Customer 101</t>
  </si>
  <si>
    <t>ORD1010</t>
  </si>
  <si>
    <t>Customer 32</t>
  </si>
  <si>
    <t>Kiran</t>
  </si>
  <si>
    <t>ORD1011</t>
  </si>
  <si>
    <t>Customer 118</t>
  </si>
  <si>
    <t>ORD1012</t>
  </si>
  <si>
    <t>Customer 68</t>
  </si>
  <si>
    <t>Headphones</t>
  </si>
  <si>
    <t>ORD1013</t>
  </si>
  <si>
    <t>Customer 37</t>
  </si>
  <si>
    <t>Laptop</t>
  </si>
  <si>
    <t>ORD1014</t>
  </si>
  <si>
    <t>Customer 16</t>
  </si>
  <si>
    <t>ORD1015</t>
  </si>
  <si>
    <t>Customer 3</t>
  </si>
  <si>
    <t>ORD1016</t>
  </si>
  <si>
    <t>Customer 144</t>
  </si>
  <si>
    <t>ORD1017</t>
  </si>
  <si>
    <t>Customer 42</t>
  </si>
  <si>
    <t>Keyboard</t>
  </si>
  <si>
    <t>ORD1018</t>
  </si>
  <si>
    <t>ORD1019</t>
  </si>
  <si>
    <t>Customer 94</t>
  </si>
  <si>
    <t>Speaker</t>
  </si>
  <si>
    <t>ORD1020</t>
  </si>
  <si>
    <t>Customer 83</t>
  </si>
  <si>
    <t>ORD1021</t>
  </si>
  <si>
    <t>Customer 116</t>
  </si>
  <si>
    <t>ORD1022</t>
  </si>
  <si>
    <t>ORD1023</t>
  </si>
  <si>
    <t>Customer 4</t>
  </si>
  <si>
    <t>ORD1024</t>
  </si>
  <si>
    <t>Customer 67</t>
  </si>
  <si>
    <t>ORD1025</t>
  </si>
  <si>
    <t>Customer 147</t>
  </si>
  <si>
    <t>ORD1026</t>
  </si>
  <si>
    <t>Customer 24</t>
  </si>
  <si>
    <t>ORD1027</t>
  </si>
  <si>
    <t>Customer 137</t>
  </si>
  <si>
    <t>ORD1028</t>
  </si>
  <si>
    <t>Customer 74</t>
  </si>
  <si>
    <t>ORD1029</t>
  </si>
  <si>
    <t>Customer 61</t>
  </si>
  <si>
    <t>ORD1030</t>
  </si>
  <si>
    <t>Customer 25</t>
  </si>
  <si>
    <t>ORD1031</t>
  </si>
  <si>
    <t>Customer 22</t>
  </si>
  <si>
    <t>ORD1032</t>
  </si>
  <si>
    <t>ORD1033</t>
  </si>
  <si>
    <t>Customer 105</t>
  </si>
  <si>
    <t>ORD1034</t>
  </si>
  <si>
    <t>Customer 26</t>
  </si>
  <si>
    <t>ORD1035</t>
  </si>
  <si>
    <t>Customer 14</t>
  </si>
  <si>
    <t>ORD1036</t>
  </si>
  <si>
    <t>Customer 124</t>
  </si>
  <si>
    <t>ORD1037</t>
  </si>
  <si>
    <t>Customer 35</t>
  </si>
  <si>
    <t>ORD1038</t>
  </si>
  <si>
    <t>Customer 38</t>
  </si>
  <si>
    <t>ORD1039</t>
  </si>
  <si>
    <t>Customer 120</t>
  </si>
  <si>
    <t>ORD1040</t>
  </si>
  <si>
    <t>Customer 53</t>
  </si>
  <si>
    <t>ORD1041</t>
  </si>
  <si>
    <t>ORD1042</t>
  </si>
  <si>
    <t>Customer 55</t>
  </si>
  <si>
    <t>ORD1043</t>
  </si>
  <si>
    <t>Customer 129</t>
  </si>
  <si>
    <t>ORD1044</t>
  </si>
  <si>
    <t>Customer 123</t>
  </si>
  <si>
    <t>ORD1045</t>
  </si>
  <si>
    <t>Customer 19</t>
  </si>
  <si>
    <t>ORD1046</t>
  </si>
  <si>
    <t>ORD1047</t>
  </si>
  <si>
    <t>Customer 103</t>
  </si>
  <si>
    <t>ORD1048</t>
  </si>
  <si>
    <t>ORD1049</t>
  </si>
  <si>
    <t>Customer 132</t>
  </si>
  <si>
    <t>ORD1050</t>
  </si>
  <si>
    <t>Customer 143</t>
  </si>
  <si>
    <t>ORD1051</t>
  </si>
  <si>
    <t>ORD1052</t>
  </si>
  <si>
    <t>Customer 108</t>
  </si>
  <si>
    <t>ORD1053</t>
  </si>
  <si>
    <t>Customer 88</t>
  </si>
  <si>
    <t>ORD1054</t>
  </si>
  <si>
    <t>Customer 43</t>
  </si>
  <si>
    <t>ORD1055</t>
  </si>
  <si>
    <t>Customer 77</t>
  </si>
  <si>
    <t>ORD1056</t>
  </si>
  <si>
    <t>Customer 102</t>
  </si>
  <si>
    <t>ORD1057</t>
  </si>
  <si>
    <t>Customer 75</t>
  </si>
  <si>
    <t>ORD1058</t>
  </si>
  <si>
    <t>ORD1059</t>
  </si>
  <si>
    <t>Customer 6</t>
  </si>
  <si>
    <t>ORD1060</t>
  </si>
  <si>
    <t>Customer 113</t>
  </si>
  <si>
    <t>ORD1061</t>
  </si>
  <si>
    <t>ORD1062</t>
  </si>
  <si>
    <t>Customer 134</t>
  </si>
  <si>
    <t>ORD1063</t>
  </si>
  <si>
    <t>Customer 70</t>
  </si>
  <si>
    <t>ORD1064</t>
  </si>
  <si>
    <t>ORD1065</t>
  </si>
  <si>
    <t>Customer 56</t>
  </si>
  <si>
    <t>ORD1066</t>
  </si>
  <si>
    <t>Customer 84</t>
  </si>
  <si>
    <t>ORD1067</t>
  </si>
  <si>
    <t>ORD1068</t>
  </si>
  <si>
    <t>ORD1069</t>
  </si>
  <si>
    <t>Customer 64</t>
  </si>
  <si>
    <t>ORD1070</t>
  </si>
  <si>
    <t>ORD1071</t>
  </si>
  <si>
    <t>Customer 121</t>
  </si>
  <si>
    <t>ORD1072</t>
  </si>
  <si>
    <t>ORD1073</t>
  </si>
  <si>
    <t>ORD1074</t>
  </si>
  <si>
    <t>Customer 66</t>
  </si>
  <si>
    <t>ORD1075</t>
  </si>
  <si>
    <t>ORD1076</t>
  </si>
  <si>
    <t>Customer 39</t>
  </si>
  <si>
    <t>ORD1077</t>
  </si>
  <si>
    <t>ORD1078</t>
  </si>
  <si>
    <t>Customer 142</t>
  </si>
  <si>
    <t>ORD1079</t>
  </si>
  <si>
    <t>Customer 36</t>
  </si>
  <si>
    <t>ORD1080</t>
  </si>
  <si>
    <t>Customer 69</t>
  </si>
  <si>
    <t>ORD1081</t>
  </si>
  <si>
    <t>ORD1082</t>
  </si>
  <si>
    <t>ORD1083</t>
  </si>
  <si>
    <t>Customer 17</t>
  </si>
  <si>
    <t>ORD1084</t>
  </si>
  <si>
    <t>Customer 92</t>
  </si>
  <si>
    <t>ORD1085</t>
  </si>
  <si>
    <t>ORD1086</t>
  </si>
  <si>
    <t>Customer 21</t>
  </si>
  <si>
    <t>ORD1087</t>
  </si>
  <si>
    <t>ORD1088</t>
  </si>
  <si>
    <t>ORD1089</t>
  </si>
  <si>
    <t>Customer 100</t>
  </si>
  <si>
    <t>ORD1090</t>
  </si>
  <si>
    <t>Customer 133</t>
  </si>
  <si>
    <t>ORD1091</t>
  </si>
  <si>
    <t>ORD1092</t>
  </si>
  <si>
    <t>Customer 8</t>
  </si>
  <si>
    <t>ORD1093</t>
  </si>
  <si>
    <t>ORD1094</t>
  </si>
  <si>
    <t>ORD1095</t>
  </si>
  <si>
    <t>ORD1096</t>
  </si>
  <si>
    <t>ORD1097</t>
  </si>
  <si>
    <t>Customer 63</t>
  </si>
  <si>
    <t>ORD1098</t>
  </si>
  <si>
    <t>ORD1099</t>
  </si>
  <si>
    <t>ORD1100</t>
  </si>
  <si>
    <t>Customer 51</t>
  </si>
  <si>
    <t>ORD1101</t>
  </si>
  <si>
    <t>ORD1102</t>
  </si>
  <si>
    <t>Customer 15</t>
  </si>
  <si>
    <t>ORD1103</t>
  </si>
  <si>
    <t>Customer 72</t>
  </si>
  <si>
    <t>ORD1104</t>
  </si>
  <si>
    <t>ORD1105</t>
  </si>
  <si>
    <t>Customer 136</t>
  </si>
  <si>
    <t>ORD1106</t>
  </si>
  <si>
    <t>ORD1107</t>
  </si>
  <si>
    <t>Customer 7</t>
  </si>
  <si>
    <t>ORD1108</t>
  </si>
  <si>
    <t>Customer 148</t>
  </si>
  <si>
    <t>ORD1109</t>
  </si>
  <si>
    <t>ORD1110</t>
  </si>
  <si>
    <t>ORD1111</t>
  </si>
  <si>
    <t>ORD1112</t>
  </si>
  <si>
    <t>ORD1113</t>
  </si>
  <si>
    <t>Customer 29</t>
  </si>
  <si>
    <t>ORD1114</t>
  </si>
  <si>
    <t>ORD1115</t>
  </si>
  <si>
    <t>ORD1116</t>
  </si>
  <si>
    <t>Customer 145</t>
  </si>
  <si>
    <t>ORD1117</t>
  </si>
  <si>
    <t>Customer 150</t>
  </si>
  <si>
    <t>ORD1118</t>
  </si>
  <si>
    <t>ORD1119</t>
  </si>
  <si>
    <t>Customer 40</t>
  </si>
  <si>
    <t>ORD1120</t>
  </si>
  <si>
    <t>ORD1121</t>
  </si>
  <si>
    <t>ORD1122</t>
  </si>
  <si>
    <t>ORD1123</t>
  </si>
  <si>
    <t>ORD1124</t>
  </si>
  <si>
    <t>ORD1125</t>
  </si>
  <si>
    <t>Customer 9</t>
  </si>
  <si>
    <t>ORD1126</t>
  </si>
  <si>
    <t>ORD1127</t>
  </si>
  <si>
    <t>ORD1128</t>
  </si>
  <si>
    <t>ORD1129</t>
  </si>
  <si>
    <t>ORD1130</t>
  </si>
  <si>
    <t>ORD1131</t>
  </si>
  <si>
    <t>Customer 90</t>
  </si>
  <si>
    <t>ORD1132</t>
  </si>
  <si>
    <t>ORD1133</t>
  </si>
  <si>
    <t>Customer 5</t>
  </si>
  <si>
    <t>ORD1134</t>
  </si>
  <si>
    <t>Customer 44</t>
  </si>
  <si>
    <t>ORD1135</t>
  </si>
  <si>
    <t>Customer 138</t>
  </si>
  <si>
    <t>ORD1136</t>
  </si>
  <si>
    <t>ORD1137</t>
  </si>
  <si>
    <t>ORD1138</t>
  </si>
  <si>
    <t>ORD1139</t>
  </si>
  <si>
    <t>ORD1140</t>
  </si>
  <si>
    <t>ORD1141</t>
  </si>
  <si>
    <t>ORD1142</t>
  </si>
  <si>
    <t>ORD1143</t>
  </si>
  <si>
    <t>Customer 82</t>
  </si>
  <si>
    <t>ORD1144</t>
  </si>
  <si>
    <t>Customer 60</t>
  </si>
  <si>
    <t>ORD1145</t>
  </si>
  <si>
    <t>Customer 57</t>
  </si>
  <si>
    <t>ORD1146</t>
  </si>
  <si>
    <t>Customer 125</t>
  </si>
  <si>
    <t>ORD1147</t>
  </si>
  <si>
    <t>Customer 106</t>
  </si>
  <si>
    <t>ORD1148</t>
  </si>
  <si>
    <t>ORD1149</t>
  </si>
  <si>
    <t>ORD1150</t>
  </si>
  <si>
    <t>ORD1151</t>
  </si>
  <si>
    <t>ORD1152</t>
  </si>
  <si>
    <t>ORD1153</t>
  </si>
  <si>
    <t>ORD1154</t>
  </si>
  <si>
    <t>ORD1155</t>
  </si>
  <si>
    <t>ORD1156</t>
  </si>
  <si>
    <t>ORD1157</t>
  </si>
  <si>
    <t>Customer 54</t>
  </si>
  <si>
    <t>ORD1158</t>
  </si>
  <si>
    <t>Customer 65</t>
  </si>
  <si>
    <t>ORD1159</t>
  </si>
  <si>
    <t>ORD1160</t>
  </si>
  <si>
    <t>ORD1161</t>
  </si>
  <si>
    <t>ORD1162</t>
  </si>
  <si>
    <t>Customer 23</t>
  </si>
  <si>
    <t>ORD1163</t>
  </si>
  <si>
    <t>ORD1164</t>
  </si>
  <si>
    <t>ORD1165</t>
  </si>
  <si>
    <t>Customer 126</t>
  </si>
  <si>
    <t>ORD1166</t>
  </si>
  <si>
    <t>Customer 98</t>
  </si>
  <si>
    <t>ORD1167</t>
  </si>
  <si>
    <t>ORD1168</t>
  </si>
  <si>
    <t>Customer 47</t>
  </si>
  <si>
    <t>ORD1169</t>
  </si>
  <si>
    <t>Customer 34</t>
  </si>
  <si>
    <t>ORD1170</t>
  </si>
  <si>
    <t>Customer 20</t>
  </si>
  <si>
    <t>ORD1171</t>
  </si>
  <si>
    <t>ORD1172</t>
  </si>
  <si>
    <t>ORD1173</t>
  </si>
  <si>
    <t>Customer 59</t>
  </si>
  <si>
    <t>ORD1174</t>
  </si>
  <si>
    <t>ORD1175</t>
  </si>
  <si>
    <t>ORD1176</t>
  </si>
  <si>
    <t>ORD1177</t>
  </si>
  <si>
    <t>ORD1178</t>
  </si>
  <si>
    <t>Customer 146</t>
  </si>
  <si>
    <t>ORD1179</t>
  </si>
  <si>
    <t>Customer 93</t>
  </si>
  <si>
    <t>ORD1180</t>
  </si>
  <si>
    <t>ORD1181</t>
  </si>
  <si>
    <t>ORD1182</t>
  </si>
  <si>
    <t>ORD1183</t>
  </si>
  <si>
    <t>ORD1184</t>
  </si>
  <si>
    <t>Customer 109</t>
  </si>
  <si>
    <t>ORD1185</t>
  </si>
  <si>
    <t>ORD1186</t>
  </si>
  <si>
    <t>ORD1187</t>
  </si>
  <si>
    <t>ORD1188</t>
  </si>
  <si>
    <t>ORD1189</t>
  </si>
  <si>
    <t>Customer 86</t>
  </si>
  <si>
    <t>ORD1190</t>
  </si>
  <si>
    <t>ORD1191</t>
  </si>
  <si>
    <t>ORD1192</t>
  </si>
  <si>
    <t>ORD1193</t>
  </si>
  <si>
    <t>ORD1194</t>
  </si>
  <si>
    <t>ORD1195</t>
  </si>
  <si>
    <t>ORD1196</t>
  </si>
  <si>
    <t>ORD1197</t>
  </si>
  <si>
    <t>ORD1198</t>
  </si>
  <si>
    <t>ORD1199</t>
  </si>
  <si>
    <t>ORD1200</t>
  </si>
  <si>
    <t>ORD1201</t>
  </si>
  <si>
    <t>ORD1202</t>
  </si>
  <si>
    <t>ORD1203</t>
  </si>
  <si>
    <t>Customer 58</t>
  </si>
  <si>
    <t>ORD1204</t>
  </si>
  <si>
    <t>ORD1205</t>
  </si>
  <si>
    <t>Customer 62</t>
  </si>
  <si>
    <t>ORD1206</t>
  </si>
  <si>
    <t>Customer 48</t>
  </si>
  <si>
    <t>ORD1207</t>
  </si>
  <si>
    <t>ORD1208</t>
  </si>
  <si>
    <t>ORD1209</t>
  </si>
  <si>
    <t>ORD1210</t>
  </si>
  <si>
    <t>ORD1211</t>
  </si>
  <si>
    <t>Customer 140</t>
  </si>
  <si>
    <t>ORD1212</t>
  </si>
  <si>
    <t>Customer 80</t>
  </si>
  <si>
    <t>ORD1213</t>
  </si>
  <si>
    <t>Customer 115</t>
  </si>
  <si>
    <t>ORD1214</t>
  </si>
  <si>
    <t>ORD1215</t>
  </si>
  <si>
    <t>Customer 50</t>
  </si>
  <si>
    <t>ORD1216</t>
  </si>
  <si>
    <t>ORD1217</t>
  </si>
  <si>
    <t>Customer 30</t>
  </si>
  <si>
    <t>ORD1218</t>
  </si>
  <si>
    <t>Customer 41</t>
  </si>
  <si>
    <t>ORD1219</t>
  </si>
  <si>
    <t>Customer 13</t>
  </si>
  <si>
    <t>ORD1220</t>
  </si>
  <si>
    <t>ORD1221</t>
  </si>
  <si>
    <t>Customer 135</t>
  </si>
  <si>
    <t>ORD1222</t>
  </si>
  <si>
    <t>ORD1223</t>
  </si>
  <si>
    <t>ORD1224</t>
  </si>
  <si>
    <t>ORD1225</t>
  </si>
  <si>
    <t>Customer 45</t>
  </si>
  <si>
    <t>ORD1226</t>
  </si>
  <si>
    <t>ORD1227</t>
  </si>
  <si>
    <t>ORD1228</t>
  </si>
  <si>
    <t>ORD1229</t>
  </si>
  <si>
    <t>ORD1230</t>
  </si>
  <si>
    <t>Customer 81</t>
  </si>
  <si>
    <t>ORD1231</t>
  </si>
  <si>
    <t>ORD1232</t>
  </si>
  <si>
    <t>Customer 96</t>
  </si>
  <si>
    <t>ORD1233</t>
  </si>
  <si>
    <t>ORD1234</t>
  </si>
  <si>
    <t>ORD1235</t>
  </si>
  <si>
    <t>ORD1236</t>
  </si>
  <si>
    <t>ORD1237</t>
  </si>
  <si>
    <t>ORD1238</t>
  </si>
  <si>
    <t>ORD1239</t>
  </si>
  <si>
    <t>Customer 27</t>
  </si>
  <si>
    <t>ORD1240</t>
  </si>
  <si>
    <t>ORD1241</t>
  </si>
  <si>
    <t>Customer 91</t>
  </si>
  <si>
    <t>ORD1242</t>
  </si>
  <si>
    <t>ORD1243</t>
  </si>
  <si>
    <t>ORD1244</t>
  </si>
  <si>
    <t>ORD1245</t>
  </si>
  <si>
    <t>ORD1246</t>
  </si>
  <si>
    <t>ORD1247</t>
  </si>
  <si>
    <t>ORD1248</t>
  </si>
  <si>
    <t>Customer 11</t>
  </si>
  <si>
    <t>ORD1249</t>
  </si>
  <si>
    <t>ORD1250</t>
  </si>
  <si>
    <t>Customer 112</t>
  </si>
  <si>
    <t>ORD1251</t>
  </si>
  <si>
    <t>Customer 119</t>
  </si>
  <si>
    <t>ORD1252</t>
  </si>
  <si>
    <t>ORD1253</t>
  </si>
  <si>
    <t>ORD1254</t>
  </si>
  <si>
    <t>ORD1255</t>
  </si>
  <si>
    <t>ORD1256</t>
  </si>
  <si>
    <t>Customer 1</t>
  </si>
  <si>
    <t>ORD1257</t>
  </si>
  <si>
    <t>ORD1258</t>
  </si>
  <si>
    <t>ORD1259</t>
  </si>
  <si>
    <t>ORD1260</t>
  </si>
  <si>
    <t>ORD1261</t>
  </si>
  <si>
    <t>Customer 79</t>
  </si>
  <si>
    <t>ORD1262</t>
  </si>
  <si>
    <t>ORD1263</t>
  </si>
  <si>
    <t>ORD1264</t>
  </si>
  <si>
    <t>ORD1265</t>
  </si>
  <si>
    <t>ORD1266</t>
  </si>
  <si>
    <t>ORD1267</t>
  </si>
  <si>
    <t>ORD1268</t>
  </si>
  <si>
    <t>ORD1269</t>
  </si>
  <si>
    <t>Customer 12</t>
  </si>
  <si>
    <t>ORD1270</t>
  </si>
  <si>
    <t>Customer 139</t>
  </si>
  <si>
    <t>ORD1271</t>
  </si>
  <si>
    <t>ORD1272</t>
  </si>
  <si>
    <t>ORD1273</t>
  </si>
  <si>
    <t>ORD1274</t>
  </si>
  <si>
    <t>Customer 28</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</si>
  <si>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</si>
  <si>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</si>
  <si>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</si>
  <si>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</si>
  <si>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</si>
  <si>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</si>
  <si>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</si>
  <si>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</si>
  <si>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</si>
  <si>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</si>
  <si>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</si>
  <si>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</si>
  <si>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</si>
  <si>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</si>
  <si>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</si>
  <si>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</si>
  <si>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</si>
  <si>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</si>
  <si>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</si>
  <si>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</si>
  <si>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Customer 31</t>
  </si>
  <si>
    <t>ORD1295</t>
  </si>
  <si>
    <t>ORD1296</t>
  </si>
  <si>
    <t>ORD1297</t>
  </si>
  <si>
    <t>ORD1298</t>
  </si>
  <si>
    <t>ORD1299</t>
  </si>
  <si>
    <t>ORD1300</t>
  </si>
  <si>
    <t>ORD1301</t>
  </si>
  <si>
    <t>ORD1302</t>
  </si>
  <si>
    <t>Customer 71</t>
  </si>
  <si>
    <t>ORD1303</t>
  </si>
  <si>
    <t>Customer 114</t>
  </si>
  <si>
    <t>ORD1304</t>
  </si>
  <si>
    <t>ORD1305</t>
  </si>
  <si>
    <t>ORD1306</t>
  </si>
  <si>
    <t>ORD1307</t>
  </si>
  <si>
    <t>ORD1308</t>
  </si>
  <si>
    <t>ORD1309</t>
  </si>
  <si>
    <t>ORD1310</t>
  </si>
  <si>
    <t>ORD1311</t>
  </si>
  <si>
    <t>ORD1312</t>
  </si>
  <si>
    <t>ORD1313</t>
  </si>
  <si>
    <t>ORD1314</t>
  </si>
  <si>
    <t>ORD1315</t>
  </si>
  <si>
    <t>ORD1316</t>
  </si>
  <si>
    <t>ORD1317</t>
  </si>
  <si>
    <t>Customer 33</t>
  </si>
  <si>
    <t>ORD1318</t>
  </si>
  <si>
    <t>ORD1319</t>
  </si>
  <si>
    <t>ORD1320</t>
  </si>
  <si>
    <t>ORD1321</t>
  </si>
  <si>
    <t>ORD1322</t>
  </si>
  <si>
    <t>Customer 130</t>
  </si>
  <si>
    <t>ORD1323</t>
  </si>
  <si>
    <t>ORD1324</t>
  </si>
  <si>
    <t>ORD1325</t>
  </si>
  <si>
    <t>ORD1326</t>
  </si>
  <si>
    <t>Customer 122</t>
  </si>
  <si>
    <t>ORD1327</t>
  </si>
  <si>
    <t>ORD1328</t>
  </si>
  <si>
    <t>ORD1329</t>
  </si>
  <si>
    <t>ORD1330</t>
  </si>
  <si>
    <t>ORD1331</t>
  </si>
  <si>
    <t>ORD1332</t>
  </si>
  <si>
    <t>ORD1333</t>
  </si>
  <si>
    <t>Customer 95</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</si>
  <si>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</si>
  <si>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</si>
  <si>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</si>
  <si>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</si>
  <si>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</si>
  <si>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</si>
  <si>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</si>
  <si>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</si>
  <si>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</si>
  <si>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</si>
  <si>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</si>
  <si>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</si>
  <si>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</si>
  <si>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</si>
  <si>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</si>
  <si>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</si>
  <si>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</si>
  <si>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</si>
  <si>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Customer 117</t>
  </si>
  <si>
    <t>ORD1352</t>
  </si>
  <si>
    <t>ORD1353</t>
  </si>
  <si>
    <t>Customer 46</t>
  </si>
  <si>
    <t>ORD1354</t>
  </si>
  <si>
    <t>Customer 89</t>
  </si>
  <si>
    <t>ORD1355</t>
  </si>
  <si>
    <t>ORD1356</t>
  </si>
  <si>
    <t>ORD1357</t>
  </si>
  <si>
    <t>ORD1358</t>
  </si>
  <si>
    <t>ORD1359</t>
  </si>
  <si>
    <t>ORD1360</t>
  </si>
  <si>
    <t>ORD1361</t>
  </si>
  <si>
    <t>Customer 131</t>
  </si>
  <si>
    <t>ORD1362</t>
  </si>
  <si>
    <t>ORD1363</t>
  </si>
  <si>
    <t>ORD1364</t>
  </si>
  <si>
    <t>ORD1365</t>
  </si>
  <si>
    <t>ORD1366</t>
  </si>
  <si>
    <t>ORD1367</t>
  </si>
  <si>
    <t>Customer 111</t>
  </si>
  <si>
    <t>ORD1368</t>
  </si>
  <si>
    <t>ORD1369</t>
  </si>
  <si>
    <t>ORD1370</t>
  </si>
  <si>
    <t>ORD1371</t>
  </si>
  <si>
    <t>ORD1372</t>
  </si>
  <si>
    <t>ORD1373</t>
  </si>
  <si>
    <t>Customer 52</t>
  </si>
  <si>
    <t>ORD1374</t>
  </si>
  <si>
    <t>ORD1375</t>
  </si>
  <si>
    <t>ORD1376</t>
  </si>
  <si>
    <t>ORD1377</t>
  </si>
  <si>
    <t>ORD1378</t>
  </si>
  <si>
    <t>ORD1379</t>
  </si>
  <si>
    <t>ORD1380</t>
  </si>
  <si>
    <t>ORD1381</t>
  </si>
  <si>
    <t>ORD1382</t>
  </si>
  <si>
    <t>ORD1383</t>
  </si>
  <si>
    <t>Customer 97</t>
  </si>
  <si>
    <t>ORD1384</t>
  </si>
  <si>
    <t>ORD1385</t>
  </si>
  <si>
    <t>ORD1386</t>
  </si>
  <si>
    <t>ORD1387</t>
  </si>
  <si>
    <t>ORD1388</t>
  </si>
  <si>
    <t>ORD1389</t>
  </si>
  <si>
    <t>ORD1390</t>
  </si>
  <si>
    <t>ORD1391</t>
  </si>
  <si>
    <t>ORD1392</t>
  </si>
  <si>
    <t>ORD1393</t>
  </si>
  <si>
    <t>ORD1394</t>
  </si>
  <si>
    <t>ORD1395</t>
  </si>
  <si>
    <t>ORD1396</t>
  </si>
  <si>
    <t>ORD1397</t>
  </si>
  <si>
    <t>Customer 87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</si>
  <si>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</si>
  <si>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</si>
  <si>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</si>
  <si>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</si>
  <si>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</si>
  <si>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</si>
  <si>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</si>
  <si>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</si>
  <si>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</si>
  <si>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</si>
  <si>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</si>
  <si>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</si>
  <si>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</si>
  <si>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</si>
  <si>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</si>
  <si>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</si>
  <si>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</si>
  <si>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</si>
  <si>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</si>
  <si>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</si>
  <si>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Customer 73</t>
  </si>
  <si>
    <t>ORD1418</t>
  </si>
  <si>
    <t>ORD1419</t>
  </si>
  <si>
    <t>ORD1420</t>
  </si>
  <si>
    <t>ORD1421</t>
  </si>
  <si>
    <t>ORD1422</t>
  </si>
  <si>
    <t>ORD1423</t>
  </si>
  <si>
    <t>ORD1424</t>
  </si>
  <si>
    <t>ORD1425</t>
  </si>
  <si>
    <t>ORD1426</t>
  </si>
  <si>
    <t>Customer 85</t>
  </si>
  <si>
    <t>ORD1427</t>
  </si>
  <si>
    <t>ORD1428</t>
  </si>
  <si>
    <t>Customer 107</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</si>
  <si>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</si>
  <si>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</si>
  <si>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</si>
  <si>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</si>
  <si>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</si>
  <si>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</si>
  <si>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</si>
  <si>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</si>
  <si>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</si>
  <si>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</si>
  <si>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</si>
  <si>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</si>
  <si>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</si>
  <si>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</si>
  <si>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</si>
  <si>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</si>
  <si>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</si>
  <si>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</si>
  <si>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</si>
  <si>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</si>
  <si>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</si>
  <si>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</si>
  <si>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</si>
  <si>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</si>
  <si>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</si>
  <si>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</si>
  <si>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</si>
  <si>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</si>
  <si>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</si>
  <si>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</si>
  <si>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Customer 76</t>
  </si>
  <si>
    <t>ORD1459</t>
  </si>
  <si>
    <t>ORD1460</t>
  </si>
  <si>
    <t>ORD1461</t>
  </si>
  <si>
    <t>ORD1462</t>
  </si>
  <si>
    <t>ORD1463</t>
  </si>
  <si>
    <t>ORD1464</t>
  </si>
  <si>
    <t>ORD1465</t>
  </si>
  <si>
    <t>ORD1466</t>
  </si>
  <si>
    <t>ORD1467</t>
  </si>
  <si>
    <t>ORD1468</t>
  </si>
  <si>
    <t>ORD1469</t>
  </si>
  <si>
    <t>ORD1470</t>
  </si>
  <si>
    <t>ORD1471</t>
  </si>
  <si>
    <t>ORD1472</t>
  </si>
  <si>
    <t>ORD1473</t>
  </si>
  <si>
    <t>Customer 2</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</si>
  <si>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</si>
  <si>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</si>
  <si>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</si>
  <si>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</si>
  <si>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</si>
  <si>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</si>
  <si>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</si>
  <si>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</si>
  <si>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</si>
  <si>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</si>
  <si>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</si>
  <si>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</si>
  <si>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</si>
  <si>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</si>
  <si>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</si>
  <si>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</si>
  <si>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</si>
  <si>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</si>
  <si>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</si>
  <si>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</si>
  <si>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</si>
  <si>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</si>
  <si>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</si>
  <si>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</si>
  <si>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</si>
  <si>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</si>
  <si>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</si>
  <si>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</si>
  <si>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</si>
  <si>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</si>
  <si>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</si>
  <si>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</si>
  <si>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</si>
  <si>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</si>
  <si>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</si>
  <si>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</si>
  <si>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</si>
  <si>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</si>
  <si>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</si>
  <si>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</si>
  <si>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</si>
  <si>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</si>
  <si>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</si>
  <si>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</si>
  <si>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</si>
  <si>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</si>
  <si>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</si>
  <si>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</si>
  <si>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</si>
  <si>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Customer 49</t>
  </si>
  <si>
    <t>ORD1523</t>
  </si>
  <si>
    <t>ORD1524</t>
  </si>
  <si>
    <t>ORD1525</t>
  </si>
  <si>
    <t>ORD1526</t>
  </si>
  <si>
    <t>ORD1527</t>
  </si>
  <si>
    <t>ORD1528</t>
  </si>
  <si>
    <t>ORD1529</t>
  </si>
  <si>
    <t>ORD1530</t>
  </si>
  <si>
    <t>ORD1531</t>
  </si>
  <si>
    <t>Customer 78</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</si>
  <si>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</si>
  <si>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</si>
  <si>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</si>
  <si>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</si>
  <si>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</si>
  <si>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</si>
  <si>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</si>
  <si>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</si>
  <si>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</si>
  <si>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</si>
  <si>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</si>
  <si>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</si>
  <si>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</si>
  <si>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</si>
  <si>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</si>
  <si>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</si>
  <si>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</si>
  <si>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</si>
  <si>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</si>
  <si>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</si>
  <si>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</si>
  <si>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</si>
  <si>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</si>
  <si>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</si>
  <si>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</si>
  <si>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</si>
  <si>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</si>
  <si>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</si>
  <si>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</si>
  <si>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</si>
  <si>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</si>
  <si>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</si>
  <si>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</si>
  <si>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</si>
  <si>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</si>
  <si>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</si>
  <si>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</si>
  <si>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</si>
  <si>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</si>
  <si>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</si>
  <si>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</si>
  <si>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</si>
  <si>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</si>
  <si>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</si>
  <si>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</si>
  <si>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</si>
  <si>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</si>
  <si>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</si>
  <si>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</si>
  <si>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</si>
  <si>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</si>
  <si>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</si>
  <si>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</si>
  <si>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</si>
  <si>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</si>
  <si>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</si>
  <si>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</si>
  <si>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</si>
  <si>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</si>
  <si>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</si>
  <si>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</si>
  <si>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</si>
  <si>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</si>
  <si>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</si>
  <si>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</si>
  <si>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</si>
  <si>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</si>
  <si>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</si>
  <si>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</si>
  <si>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</si>
  <si>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</si>
  <si>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</si>
  <si>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</si>
  <si>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</si>
  <si>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</si>
  <si>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</si>
  <si>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</si>
  <si>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</si>
  <si>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</si>
  <si>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</si>
  <si>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</si>
  <si>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</si>
  <si>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</si>
  <si>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</si>
  <si>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</si>
  <si>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</si>
  <si>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</si>
  <si>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</si>
  <si>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</si>
  <si>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</si>
  <si>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</si>
  <si>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</si>
  <si>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</si>
  <si>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</si>
  <si>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</si>
  <si>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</si>
  <si>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</si>
  <si>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</si>
  <si>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</si>
  <si>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</si>
  <si>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</si>
  <si>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</si>
  <si>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</si>
  <si>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</si>
  <si>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</si>
  <si>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</si>
  <si>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</si>
  <si>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</si>
  <si>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</si>
  <si>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</si>
  <si>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</si>
  <si>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</si>
  <si>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</si>
  <si>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</si>
  <si>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</si>
  <si>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</si>
  <si>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</si>
  <si>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</si>
  <si>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</si>
  <si>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</si>
  <si>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</si>
  <si>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</si>
  <si>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</si>
  <si>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</si>
  <si>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</si>
  <si>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</si>
  <si>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</si>
  <si>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</si>
  <si>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</si>
  <si>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</si>
  <si>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</si>
  <si>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</si>
  <si>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</si>
  <si>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</si>
  <si>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</si>
  <si>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</si>
  <si>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</si>
  <si>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</si>
  <si>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</si>
  <si>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</si>
  <si>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</si>
  <si>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</si>
  <si>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</si>
  <si>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</si>
  <si>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</si>
  <si>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</si>
  <si>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</si>
  <si>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</si>
  <si>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</si>
  <si>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</si>
  <si>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</si>
  <si>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</si>
  <si>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</si>
  <si>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</si>
  <si>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</si>
  <si>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</si>
  <si>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</si>
  <si>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</si>
  <si>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</si>
  <si>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</si>
  <si>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</si>
  <si>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</si>
  <si>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</si>
  <si>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</si>
  <si>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</si>
  <si>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</si>
  <si>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</si>
  <si>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</si>
  <si>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</si>
  <si>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</si>
  <si>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</si>
  <si>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</si>
  <si>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</si>
  <si>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</si>
  <si>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</si>
  <si>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</si>
  <si>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</si>
  <si>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</si>
  <si>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</si>
  <si>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</si>
  <si>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</si>
  <si>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</si>
  <si>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</si>
  <si>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</si>
  <si>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</si>
  <si>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</si>
  <si>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</si>
  <si>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</si>
  <si>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</si>
  <si>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</si>
  <si>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</si>
  <si>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</si>
  <si>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</si>
  <si>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</si>
  <si>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</si>
  <si>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</si>
  <si>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</si>
  <si>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</si>
  <si>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Customer 110</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</si>
  <si>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</si>
  <si>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</si>
  <si>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</si>
  <si>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</si>
  <si>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</si>
  <si>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</si>
  <si>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</si>
  <si>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</si>
  <si>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</si>
  <si>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</si>
  <si>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</si>
  <si>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</si>
  <si>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</si>
  <si>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</si>
  <si>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</si>
  <si>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</si>
  <si>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</si>
  <si>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</si>
  <si>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</si>
  <si>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</si>
  <si>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</si>
  <si>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</si>
  <si>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</si>
  <si>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</si>
  <si>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</si>
  <si>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</si>
  <si>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</si>
  <si>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</si>
  <si>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</si>
  <si>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</si>
  <si>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</si>
  <si>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</si>
  <si>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</si>
  <si>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</si>
  <si>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</si>
  <si>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</si>
  <si>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</si>
  <si>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</si>
  <si>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</si>
  <si>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</si>
  <si>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</si>
  <si>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</si>
  <si>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</si>
  <si>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</si>
  <si>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</si>
  <si>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</si>
  <si>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</si>
  <si>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</si>
  <si>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</si>
  <si>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</si>
  <si>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</si>
  <si>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</si>
  <si>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</si>
  <si>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</si>
  <si>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</si>
  <si>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</si>
  <si>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</si>
  <si>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</si>
  <si>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</si>
  <si>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</si>
  <si>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</si>
  <si>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</si>
  <si>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</si>
  <si>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</si>
  <si>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</si>
  <si>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</si>
  <si>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</si>
  <si>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</si>
  <si>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</si>
  <si>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</si>
  <si>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</si>
  <si>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</si>
  <si>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</si>
  <si>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</si>
  <si>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</si>
  <si>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</si>
  <si>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</si>
  <si>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</si>
  <si>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</si>
  <si>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</si>
  <si>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</si>
  <si>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</si>
  <si>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</si>
  <si>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</si>
  <si>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</si>
  <si>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</si>
  <si>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</si>
  <si>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</si>
  <si>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</si>
  <si>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</si>
  <si>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</si>
  <si>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</si>
  <si>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</si>
  <si>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</si>
  <si>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</si>
  <si>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</si>
  <si>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</si>
  <si>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</si>
  <si>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</si>
  <si>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</si>
  <si>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</si>
  <si>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</si>
  <si>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</si>
  <si>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</si>
  <si>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</si>
  <si>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</si>
  <si>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</si>
  <si>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</si>
  <si>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</si>
  <si>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</si>
  <si>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</si>
  <si>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</si>
  <si>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</si>
  <si>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</si>
  <si>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</si>
  <si>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</si>
  <si>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</si>
  <si>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</si>
  <si>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</si>
  <si>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</si>
  <si>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</si>
  <si>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</si>
  <si>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</si>
  <si>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</si>
  <si>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</si>
  <si>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</si>
  <si>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</si>
  <si>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</si>
  <si>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</si>
  <si>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</si>
  <si>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</si>
  <si>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</si>
  <si>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</si>
  <si>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</si>
  <si>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</si>
  <si>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</si>
  <si>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</si>
  <si>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</si>
  <si>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</si>
  <si>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</si>
  <si>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</si>
  <si>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</si>
  <si>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</si>
  <si>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</si>
  <si>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</si>
  <si>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</si>
  <si>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</si>
  <si>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</si>
  <si>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</si>
  <si>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</si>
  <si>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</si>
  <si>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</si>
  <si>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</si>
  <si>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</si>
  <si>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</si>
  <si>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</si>
  <si>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</si>
  <si>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</si>
  <si>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</si>
  <si>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</si>
  <si>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</si>
  <si>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</si>
  <si>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</si>
  <si>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</si>
  <si>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</si>
  <si>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</si>
  <si>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</si>
  <si>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</si>
  <si>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</si>
  <si>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</si>
  <si>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</si>
  <si>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</si>
  <si>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</si>
  <si>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</si>
  <si>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</si>
  <si>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</si>
  <si>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</si>
  <si>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</si>
  <si>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</si>
  <si>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</si>
  <si>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</si>
  <si>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</si>
  <si>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</si>
  <si>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</si>
  <si>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</si>
  <si>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</si>
  <si>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</si>
  <si>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</si>
  <si>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</si>
  <si>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</si>
  <si>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</si>
  <si>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</si>
  <si>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</si>
  <si>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</si>
  <si>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</si>
  <si>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</si>
  <si>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</si>
  <si>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</si>
  <si>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</si>
  <si>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</si>
  <si>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</si>
  <si>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</si>
  <si>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</si>
  <si>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</si>
  <si>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</si>
  <si>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</si>
  <si>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</si>
  <si>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</si>
  <si>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</si>
  <si>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</si>
  <si>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</si>
  <si>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</si>
  <si>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</si>
  <si>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</si>
  <si>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</si>
  <si>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</si>
  <si>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</si>
  <si>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</si>
  <si>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</si>
  <si>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</si>
  <si>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</si>
  <si>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</si>
  <si>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</si>
  <si>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</si>
  <si>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</si>
  <si>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</si>
  <si>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</si>
  <si>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</si>
  <si>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</si>
  <si>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</si>
  <si>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</si>
  <si>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</si>
  <si>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</si>
  <si>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</si>
  <si>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</si>
  <si>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</si>
  <si>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</si>
  <si>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</si>
  <si>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</si>
  <si>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</si>
  <si>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</si>
  <si>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</si>
  <si>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</si>
  <si>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</si>
  <si>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</si>
  <si>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</si>
  <si>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</si>
  <si>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</si>
  <si>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</si>
  <si>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</si>
  <si>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</si>
  <si>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</si>
  <si>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</si>
  <si>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</si>
  <si>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</si>
  <si>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</si>
  <si>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</si>
  <si>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</si>
  <si>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</si>
  <si>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</si>
  <si>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</si>
  <si>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</si>
  <si>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</si>
  <si>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</si>
  <si>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</si>
  <si>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</si>
  <si>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</si>
  <si>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</si>
  <si>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</si>
  <si>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</si>
  <si>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Row Labels</t>
  </si>
  <si>
    <t>Grand Total</t>
  </si>
  <si>
    <t>Jan</t>
  </si>
  <si>
    <t>Feb</t>
  </si>
  <si>
    <t>Mar</t>
  </si>
  <si>
    <t>Apr</t>
  </si>
  <si>
    <t>May</t>
  </si>
  <si>
    <t>Jun</t>
  </si>
  <si>
    <t>Jul</t>
  </si>
  <si>
    <t>Aug</t>
  </si>
  <si>
    <t>Sep</t>
  </si>
  <si>
    <t>Oct</t>
  </si>
  <si>
    <t>Nov</t>
  </si>
  <si>
    <t>Dec</t>
  </si>
  <si>
    <t>Sum of Revenue</t>
  </si>
  <si>
    <t>2025</t>
  </si>
  <si>
    <t>Sum of Profit</t>
  </si>
  <si>
    <t>Sales Performance Dashboard</t>
  </si>
  <si>
    <t>Total Revenue</t>
  </si>
  <si>
    <t>Total Profit</t>
  </si>
  <si>
    <t>Total Orders</t>
  </si>
  <si>
    <t>Total Quantity</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</si>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</sst>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14009]dd/mm/yyyy;@"/>
    <numFmt numFmtId="165" formatCode="&quot;₹&quot;\ #,##0.00"/>
    <numFmt numFmtId="166" formatCode="&quot;₹&quot;\ #,##0"/>
  </numFmts>
  <fonts count="9" x14ac:knownFonts="1">
    <font>
      <sz val="11"/>
      <color theme="1"/>
      <name val="Calibri"/>
      <family val="2"/>
      <scheme val="minor"/>
    </font>
    <font>
      <sz val="11"/>
      <color theme="1"/>
      <name val="Calibri"/>
      <family val="2"/>
      <scheme val="minor"/>
    </font>
    <font>
      <sz val="18"/>
      <color theme="1"/>
      <name val="Calibri"/>
      <family val="2"/>
      <scheme val="minor"/>
    </font>
    <font>
      <b/>
      <sz val="24"/>
      <color theme="0"/>
      <name val="Aptos"/>
      <family val="2"/>
    </font>
    <font>
      <sz val="20"/>
      <color rgb="FF1F4E78"/>
      <name val="Calibri"/>
      <family val="2"/>
      <scheme val="minor"/>
    </font>
    <font>
      <sz val="20"/>
      <color rgb="FF006100"/>
      <name val="Calibri"/>
      <family val="2"/>
      <scheme val="minor"/>
    </font>
    <font>
      <sz val="20"/>
      <color rgb="FFC65911"/>
      <name val="Calibri"/>
      <family val="2"/>
      <scheme val="minor"/>
    </font>
    <font>
      <sz val="20"/>
      <color rgb="FF7030A0"/>
      <name val="Calibri"/>
      <family val="2"/>
      <scheme val="minor"/>
    </font>
    <font>
      <sz val="20"/>
      <color rgb="FF9C0006"/>
      <name val="Calibri"/>
      <family val="2"/>
      <scheme val="minor"/>
    </font>
  </fonts>
  <fills count="8">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D9F2D9"/>
        <bgColor indexed="64"/>
      </patternFill>
    </fill>
    <fill>
      <patternFill patternType="solid">
        <fgColor rgb="FFFCE4D6"/>
        <bgColor indexed="64"/>
      </patternFill>
    </fill>
    <fill>
      <patternFill patternType="solid">
        <fgColor rgb="FFEADCF8"/>
        <bgColor indexed="64"/>
      </patternFill>
    </fill>
    <fill>
      <patternFill patternType="solid">
        <fgColor rgb="FFF4CCCC"/>
        <bgColor indexed="64"/>
      </patternFill>
    </fill>
  </fills>
  <borders count="3">
    <border>
      <left/>
      <right/>
      <top/>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0">
    <xf numFmtId="0" fontId="0" fillId="0" borderId="0" xfId="0"/>
    <xf numFmtId="10" fontId="0" fillId="0" borderId="0" xfId="0" applyNumberFormat="1"/>
    <xf numFmtId="164" fontId="0" fillId="0" borderId="0" xfId="0" applyNumberFormat="1"/>
    <xf numFmtId="165" fontId="0" fillId="0" borderId="0" xfId="0" applyNumberFormat="1"/>
    <xf numFmtId="2"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2" fillId="7" borderId="1" xfId="0" applyFont="1" applyFill="1" applyBorder="1" applyAlignment="1">
      <alignment horizontal="center"/>
    </xf>
    <xf numFmtId="166" fontId="4" fillId="0" borderId="2" xfId="0" applyNumberFormat="1" applyFont="1" applyBorder="1" applyAlignment="1">
      <alignment horizontal="center" vertical="center"/>
    </xf>
    <xf numFmtId="166" fontId="5" fillId="0" borderId="2" xfId="0" applyNumberFormat="1" applyFont="1" applyBorder="1" applyAlignment="1">
      <alignment horizontal="center" vertical="center"/>
    </xf>
    <xf numFmtId="0" fontId="6" fillId="0" borderId="2" xfId="0" applyFont="1" applyBorder="1" applyAlignment="1">
      <alignment horizontal="center" vertical="center"/>
    </xf>
    <xf numFmtId="3" fontId="7" fillId="0" borderId="2" xfId="2" applyNumberFormat="1" applyFont="1" applyBorder="1" applyAlignment="1">
      <alignment horizontal="center" vertical="center"/>
    </xf>
    <xf numFmtId="10" fontId="8" fillId="0" borderId="2" xfId="1" applyNumberFormat="1" applyFont="1" applyBorder="1" applyAlignment="1">
      <alignment horizontal="center" vertical="center"/>
    </xf>
    <xf numFmtId="0" fontId="3" fillId="2" borderId="0" xfId="0" applyFont="1" applyFill="1" applyAlignment="1">
      <alignment horizontal="center"/>
    </xf>
  </cellXfs>
  <cellStyles count="3">
    <cellStyle name="Comma" xfId="2" builtinId="3"/>
    <cellStyle name="Normal" xfId="0" builtinId="0"/>
    <cellStyle name="Percent" xfId="1" builtinId="5"/>
  </cellStyles>
  <dxfs count="9">
    <dxf>
      <numFmt numFmtId="14" formatCode="0.00%"/>
    </dxf>
    <dxf>
      <numFmt numFmtId="165" formatCode="&quot;₹&quot;\ #,##0.00"/>
    </dxf>
    <dxf>
      <numFmt numFmtId="165" formatCode="&quot;₹&quot;\ #,##0.00"/>
    </dxf>
    <dxf>
      <numFmt numFmtId="165" formatCode="&quot;₹&quot;\ #,##0.00"/>
    </dxf>
    <dxf>
      <numFmt numFmtId="165" formatCode="&quot;₹&quot;\ #,##0.00"/>
    </dxf>
    <dxf>
      <numFmt numFmtId="165" formatCode="&quot;₹&quot;\ #,##0.00"/>
    </dxf>
    <dxf>
      <numFmt numFmtId="164" formatCode="[$-14009]dd/mm/yyyy;@"/>
    </dxf>
    <dxf>
      <font>
        <b val="0"/>
        <i val="0"/>
        <sz val="10"/>
        <color rgb="FFFFFFFF"/>
      </font>
      <fill>
        <patternFill>
          <fgColor rgb="FF1F4E78"/>
        </patternFill>
      </fill>
    </dxf>
    <dxf>
      <font>
        <b val="0"/>
        <i val="0"/>
        <sz val="10"/>
        <color rgb="FF1F4E78"/>
      </font>
    </dxf>
  </dxfs>
  <tableStyles count="2" defaultTableStyle="TableStyleMedium9" defaultPivotStyle="PivotStyleLight16">
    <tableStyle name="Slicer Style 1" pivot="0" table="0" count="1" xr9:uid="{FE803265-352F-4657-A4E8-263D2069F60D}">
      <tableStyleElement type="headerRow" dxfId="8"/>
    </tableStyle>
    <tableStyle name="Slicer Style 2" pivot="0" table="0" count="3" xr9:uid="{6DE98336-A95A-42FC-9FBE-E2018C683C55}">
      <tableStyleElement type="headerRow" dxfId="7"/>
    </tableStyle>
  </tableStyles>
  <colors>
    <mruColors>
      <color rgb="FFD9D9D9"/>
      <color rgb="FFE6E6E6"/>
      <color rgb="FFD9EAF7"/>
      <color rgb="FF5B9BD5"/>
      <color rgb="FFFFFFFF"/>
      <color rgb="FF1F4E78"/>
      <color rgb="FFF8F9FA"/>
      <color rgb="FF4472C4"/>
      <color rgb="FF444444"/>
      <color rgb="FF7030A0"/>
    </mruColors>
  </colors>
  <extLst>
    <ext xmlns:x14="http://schemas.microsoft.com/office/spreadsheetml/2009/9/main" uri="{46F421CA-312F-682f-3DD2-61675219B42D}">
      <x14:dxfs count="2">
        <dxf>
          <font>
            <color rgb="FFD9EAF7"/>
          </font>
        </dxf>
        <dxf>
          <font>
            <color rgb="FF5B9BD5"/>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[Sales_Performance_Dashboard.xlsx]Top Products!PivotTable4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solidFill>
              <a:schemeClr val="accent1"/>
            </a:solidFill>
            <a:ln>
              <a:noFill/>
            </a:ln>
            <a:effectLst/>
          </c:spPr>
          <c:invertIfNegative val="0"/>
          <c:cat>
            <c:strRef>
              <c:f>'Top Products'!$A$4:$A$14</c:f>
              <c:strCache>
                <c:ptCount val="10"/>
                <c:pt idx="0">
                  <c:v>Laptop</c:v>
                </c:pt>
                <c:pt idx="1">
                  <c:v>Monitor</c:v>
                </c:pt>
                <c:pt idx="2">
                  <c:v>Tablet</c:v>
                </c:pt>
                <c:pt idx="3">
                  <c:v>Printer</c:v>
                </c:pt>
                <c:pt idx="4">
                  <c:v>SSD</c:v>
                </c:pt>
                <c:pt idx="5">
                  <c:v>Speaker</c:v>
                </c:pt>
                <c:pt idx="6">
                  <c:v>Webcam</c:v>
                </c:pt>
                <c:pt idx="7">
                  <c:v>Headphones</c:v>
                </c:pt>
                <c:pt idx="8">
                  <c:v>Keyboard</c:v>
                </c:pt>
                <c:pt idx="9">
                  <c:v>Mouse</c:v>
                </c:pt>
              </c:strCache>
            </c:strRef>
          </c:cat>
          <c:val>
            <c:numRef>
              <c:f>'Top Products'!$B$4:$B$14</c:f>
              <c:numCache>
                <c:formatCode>"₹"\ #,##0.00</c:formatCode>
                <c:ptCount val="10"/>
                <c:pt idx="0">
                  <c:v>46420000</c:v>
                </c:pt>
                <c:pt idx="1">
                  <c:v>20179500</c:v>
                </c:pt>
                <c:pt idx="2">
                  <c:v>15405000</c:v>
                </c:pt>
                <c:pt idx="3">
                  <c:v>13908000</c:v>
                </c:pt>
                <c:pt idx="4">
                  <c:v>4359600</c:v>
                </c:pt>
                <c:pt idx="5">
                  <c:v>4014000</c:v>
                </c:pt>
                <c:pt idx="6">
                  <c:v>3161600</c:v>
                </c:pt>
                <c:pt idx="7">
                  <c:v>2752400</c:v>
                </c:pt>
                <c:pt idx="8">
                  <c:v>1504500</c:v>
                </c:pt>
                <c:pt idx="9">
                  <c:v>778050</c:v>
                </c:pt>
              </c:numCache>
            </c:numRef>
          </c:val>
          <c:extLst>
            <c:ext xmlns:c16="http://schemas.microsoft.com/office/drawing/2014/chart" uri="{C3380CC4-5D6E-409C-BE32-E72D297353CC}">
              <c16:uniqueId val="{00000000-BEA4-4AE1-8854-FA89DDD33501}"/>
            </c:ext>
          </c:extLst>
        </c:ser>
        <c:dLbls>
          <c:showLegendKey val="0"/>
          <c:showVal val="0"/>
          <c:showCatName val="0"/>
          <c:showSerName val="0"/>
          <c:showPercent val="0"/>
          <c:showBubbleSize val="0"/>
        </c:dLbls>
        <c:gapWidth val="182"/>
        <c:axId val="1188264207"/>
        <c:axId val="1188265167"/>
      </c:barChart>
      <c:catAx>
        <c:axId val="118826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65167"/>
        <c:crosses val="autoZero"/>
        <c:auto val="1"/>
        <c:lblAlgn val="ctr"/>
        <c:lblOffset val="100"/>
        <c:noMultiLvlLbl val="0"/>
      </c:catAx>
      <c:valAx>
        <c:axId val="11882651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6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[Sales_Performance_Dashboard.xlsx]Revenue by Salesperson!PivotTable5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Salesperson'!$B$3</c:f>
              <c:strCache>
                <c:ptCount val="1"/>
                <c:pt idx="0">
                  <c:v>Total</c:v>
                </c:pt>
              </c:strCache>
            </c:strRef>
          </c:tx>
          <c:spPr>
            <a:solidFill>
              <a:schemeClr val="accent1"/>
            </a:solidFill>
            <a:ln>
              <a:noFill/>
            </a:ln>
            <a:effectLst/>
          </c:spPr>
          <c:invertIfNegative val="0"/>
          <c:cat>
            <c:strRef>
              <c:f>'Revenue by Salesperson'!$A$4:$A$10</c:f>
              <c:strCache>
                <c:ptCount val="6"/>
                <c:pt idx="0">
                  <c:v>Amit</c:v>
                </c:pt>
                <c:pt idx="1">
                  <c:v>Arun</c:v>
                </c:pt>
                <c:pt idx="2">
                  <c:v>Kiran</c:v>
                </c:pt>
                <c:pt idx="3">
                  <c:v>Priya</c:v>
                </c:pt>
                <c:pt idx="4">
                  <c:v>Rahul</c:v>
                </c:pt>
                <c:pt idx="5">
                  <c:v>Sneha</c:v>
                </c:pt>
              </c:strCache>
            </c:strRef>
          </c:cat>
          <c:val>
            <c:numRef>
              <c:f>'Revenue by Salesperson'!$B$4:$B$10</c:f>
              <c:numCache>
                <c:formatCode>"₹"\ #,##0.00</c:formatCode>
                <c:ptCount val="6"/>
                <c:pt idx="0">
                  <c:v>16611100</c:v>
                </c:pt>
                <c:pt idx="1">
                  <c:v>18679600</c:v>
                </c:pt>
                <c:pt idx="2">
                  <c:v>22682600</c:v>
                </c:pt>
                <c:pt idx="3">
                  <c:v>12809950</c:v>
                </c:pt>
                <c:pt idx="4">
                  <c:v>22628050</c:v>
                </c:pt>
                <c:pt idx="5">
                  <c:v>19071350</c:v>
                </c:pt>
              </c:numCache>
            </c:numRef>
          </c:val>
          <c:extLst>
            <c:ext xmlns:c16="http://schemas.microsoft.com/office/drawing/2014/chart" uri="{C3380CC4-5D6E-409C-BE32-E72D297353CC}">
              <c16:uniqueId val="{00000000-5900-4541-9982-7F462603A7E7}"/>
            </c:ext>
          </c:extLst>
        </c:ser>
        <c:dLbls>
          <c:showLegendKey val="0"/>
          <c:showVal val="0"/>
          <c:showCatName val="0"/>
          <c:showSerName val="0"/>
          <c:showPercent val="0"/>
          <c:showBubbleSize val="0"/>
        </c:dLbls>
        <c:gapWidth val="219"/>
        <c:overlap val="-27"/>
        <c:axId val="1188272847"/>
        <c:axId val="1188273327"/>
      </c:barChart>
      <c:catAx>
        <c:axId val="118827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73327"/>
        <c:crosses val="autoZero"/>
        <c:auto val="1"/>
        <c:lblAlgn val="ctr"/>
        <c:lblOffset val="100"/>
        <c:noMultiLvlLbl val="0"/>
      </c:catAx>
      <c:valAx>
        <c:axId val="11882733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7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[Sales_Performance_Dashboard.xlsx]Revenue by month!PivotTable1</c:name>
    <c:fmtId val="12"/>
  </c:pivotSource>
  <c:chart>
    <c:title>
      <c:tx>
        <c:rich>
          <a:bodyPr rot="0" spcFirstLastPara="1" vertOverflow="ellipsis" vert="horz" wrap="square" anchor="ctr" anchorCtr="1"/>
          <a:lstStyle/>
          <a:p>
            <a:pPr>
              <a:defRPr sz="1400" b="0" i="0" u="none" strike="noStrike" kern="1200" spc="0" baseline="0">
                <a:solidFill>
                  <a:srgbClr val="1F4E78"/>
                </a:solidFill>
                <a:latin typeface="+mn-lt"/>
                <a:ea typeface="+mn-ea"/>
                <a:cs typeface="+mn-cs"/>
              </a:defRPr>
            </a:pPr>
            <a:r>
              <a:rPr lang="en-US">
                <a:solidFill>
                  <a:srgbClr val="1F4E78"/>
                </a:solidFill>
              </a:rPr>
              <a:t>Revenue</a:t>
            </a:r>
            <a:r>
              <a:rPr lang="en-US" baseline="0">
                <a:solidFill>
                  <a:srgbClr val="1F4E78"/>
                </a:solidFill>
              </a:rPr>
              <a:t> by Month</a:t>
            </a:r>
            <a:endParaRPr lang="en-US">
              <a:solidFill>
                <a:srgbClr val="1F4E78"/>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month'!$B$3</c:f>
              <c:strCache>
                <c:ptCount val="1"/>
                <c:pt idx="0">
                  <c:v>Total</c:v>
                </c:pt>
              </c:strCache>
            </c:strRef>
          </c:tx>
          <c:spPr>
            <a:solidFill>
              <a:srgbClr val="5B9BD5"/>
            </a:solidFill>
            <a:ln>
              <a:noFill/>
            </a:ln>
            <a:effectLst/>
          </c:spPr>
          <c:invertIfNegative val="0"/>
          <c:cat>
            <c:multiLvlStrRef>
              <c:f>'Revenue by month'!$A$4:$A$17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'Revenue by month'!$B$4:$B$17</c:f>
              <c:numCache>
                <c:formatCode>"₹"\ #,##0.00</c:formatCode>
                <c:ptCount val="12"/>
                <c:pt idx="0">
                  <c:v>9623200</c:v>
                </c:pt>
                <c:pt idx="1">
                  <c:v>11330600</c:v>
                </c:pt>
                <c:pt idx="2">
                  <c:v>10319650</c:v>
                </c:pt>
                <c:pt idx="3">
                  <c:v>6598400</c:v>
                </c:pt>
                <c:pt idx="4">
                  <c:v>9696600</c:v>
                </c:pt>
                <c:pt idx="5">
                  <c:v>7728500</c:v>
                </c:pt>
                <c:pt idx="6">
                  <c:v>8440250</c:v>
                </c:pt>
                <c:pt idx="7">
                  <c:v>9536100</c:v>
                </c:pt>
                <c:pt idx="8">
                  <c:v>12338000</c:v>
                </c:pt>
                <c:pt idx="9">
                  <c:v>9975000</c:v>
                </c:pt>
                <c:pt idx="10">
                  <c:v>10123700</c:v>
                </c:pt>
                <c:pt idx="11">
                  <c:v>6772650</c:v>
                </c:pt>
              </c:numCache>
            </c:numRef>
          </c:val>
          <c:extLst>
            <c:ext xmlns:c16="http://schemas.microsoft.com/office/drawing/2014/chart" uri="{C3380CC4-5D6E-409C-BE32-E72D297353CC}">
              <c16:uniqueId val="{00000000-AED9-48A2-AF85-FB82A62872C1}"/>
            </c:ext>
          </c:extLst>
        </c:ser>
        <c:dLbls>
          <c:showLegendKey val="0"/>
          <c:showVal val="0"/>
          <c:showCatName val="0"/>
          <c:showSerName val="0"/>
          <c:showPercent val="0"/>
          <c:showBubbleSize val="0"/>
        </c:dLbls>
        <c:gapWidth val="219"/>
        <c:overlap val="-27"/>
        <c:axId val="1188211407"/>
        <c:axId val="1188228207"/>
      </c:barChart>
      <c:catAx>
        <c:axId val="118821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44444"/>
                </a:solidFill>
                <a:latin typeface="+mn-lt"/>
                <a:ea typeface="+mn-ea"/>
                <a:cs typeface="+mn-cs"/>
              </a:defRPr>
            </a:pPr>
            <a:endParaRPr lang="en-US"/>
          </a:p>
        </c:txPr>
        <c:crossAx val="1188228207"/>
        <c:crosses val="autoZero"/>
        <c:auto val="1"/>
        <c:lblAlgn val="ctr"/>
        <c:lblOffset val="100"/>
        <c:noMultiLvlLbl val="0"/>
      </c:catAx>
      <c:valAx>
        <c:axId val="1188228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44444"/>
                </a:solidFill>
                <a:latin typeface="+mn-lt"/>
                <a:ea typeface="+mn-ea"/>
                <a:cs typeface="+mn-cs"/>
              </a:defRPr>
            </a:pPr>
            <a:endParaRPr lang="en-US"/>
          </a:p>
        </c:txPr>
        <c:crossAx val="1188211407"/>
        <c:crosses val="autoZero"/>
        <c:crossBetween val="between"/>
      </c:valAx>
      <c:spPr>
        <a:solidFill>
          <a:srgbClr val="F8F9FA"/>
        </a:solidFill>
        <a:ln>
          <a:solidFill>
            <a:srgbClr val="E6E6E6"/>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[Sales_Performance_Dashboard.xlsx]Profit by region!PivotTable2</c:name>
    <c:fmtId val="7"/>
  </c:pivotSource>
  <c:chart>
    <c:title>
      <c:tx>
        <c:rich>
          <a:bodyPr rot="0" spcFirstLastPara="1" vertOverflow="ellipsis" vert="horz" wrap="square" anchor="ctr" anchorCtr="1"/>
          <a:lstStyle/>
          <a:p>
            <a:pPr>
              <a:defRPr sz="1400" b="0" i="0" u="none" strike="noStrike" kern="1200" spc="0" baseline="0">
                <a:solidFill>
                  <a:srgbClr val="006100"/>
                </a:solidFill>
                <a:latin typeface="+mn-lt"/>
                <a:ea typeface="+mn-ea"/>
                <a:cs typeface="+mn-cs"/>
              </a:defRPr>
            </a:pPr>
            <a:r>
              <a:rPr lang="en-US">
                <a:solidFill>
                  <a:srgbClr val="006100"/>
                </a:solidFill>
              </a:rPr>
              <a:t>Profit</a:t>
            </a:r>
            <a:r>
              <a:rPr lang="en-US" baseline="0">
                <a:solidFill>
                  <a:srgbClr val="006100"/>
                </a:solidFill>
              </a:rPr>
              <a:t> by Region</a:t>
            </a:r>
            <a:endParaRPr lang="en-US">
              <a:solidFill>
                <a:srgbClr val="0061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6100"/>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region'!$B$3</c:f>
              <c:strCache>
                <c:ptCount val="1"/>
                <c:pt idx="0">
                  <c:v>Total</c:v>
                </c:pt>
              </c:strCache>
            </c:strRef>
          </c:tx>
          <c:spPr>
            <a:solidFill>
              <a:srgbClr val="70AD47"/>
            </a:solidFill>
            <a:ln>
              <a:noFill/>
            </a:ln>
            <a:effectLst/>
          </c:spPr>
          <c:invertIfNegative val="0"/>
          <c:cat>
            <c:strRef>
              <c:f>'Profit by region'!$A$4:$A$9</c:f>
              <c:strCache>
                <c:ptCount val="5"/>
                <c:pt idx="0">
                  <c:v>Central</c:v>
                </c:pt>
                <c:pt idx="1">
                  <c:v>East</c:v>
                </c:pt>
                <c:pt idx="2">
                  <c:v>North</c:v>
                </c:pt>
                <c:pt idx="3">
                  <c:v>South</c:v>
                </c:pt>
                <c:pt idx="4">
                  <c:v>West</c:v>
                </c:pt>
              </c:strCache>
            </c:strRef>
          </c:cat>
          <c:val>
            <c:numRef>
              <c:f>'Profit by region'!$B$4:$B$9</c:f>
              <c:numCache>
                <c:formatCode>"₹"\ #,##0.00</c:formatCode>
                <c:ptCount val="5"/>
                <c:pt idx="0">
                  <c:v>5328700</c:v>
                </c:pt>
                <c:pt idx="1">
                  <c:v>6331900</c:v>
                </c:pt>
                <c:pt idx="2">
                  <c:v>5327200</c:v>
                </c:pt>
                <c:pt idx="3">
                  <c:v>6535400</c:v>
                </c:pt>
                <c:pt idx="4">
                  <c:v>6100350</c:v>
                </c:pt>
              </c:numCache>
            </c:numRef>
          </c:val>
          <c:extLst>
            <c:ext xmlns:c16="http://schemas.microsoft.com/office/drawing/2014/chart" uri="{C3380CC4-5D6E-409C-BE32-E72D297353CC}">
              <c16:uniqueId val="{00000000-05F4-4C05-ABD0-7F07873C5C7A}"/>
            </c:ext>
          </c:extLst>
        </c:ser>
        <c:dLbls>
          <c:showLegendKey val="0"/>
          <c:showVal val="0"/>
          <c:showCatName val="0"/>
          <c:showSerName val="0"/>
          <c:showPercent val="0"/>
          <c:showBubbleSize val="0"/>
        </c:dLbls>
        <c:gapWidth val="182"/>
        <c:axId val="1188249807"/>
        <c:axId val="1188241167"/>
      </c:barChart>
      <c:catAx>
        <c:axId val="118824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44444"/>
                </a:solidFill>
                <a:latin typeface="+mn-lt"/>
                <a:ea typeface="+mn-ea"/>
                <a:cs typeface="+mn-cs"/>
              </a:defRPr>
            </a:pPr>
            <a:endParaRPr lang="en-US"/>
          </a:p>
        </c:txPr>
        <c:crossAx val="1188241167"/>
        <c:crosses val="autoZero"/>
        <c:auto val="1"/>
        <c:lblAlgn val="ctr"/>
        <c:lblOffset val="100"/>
        <c:noMultiLvlLbl val="0"/>
      </c:catAx>
      <c:valAx>
        <c:axId val="1188241167"/>
        <c:scaling>
          <c:orientation val="minMax"/>
        </c:scaling>
        <c:delete val="0"/>
        <c:axPos val="b"/>
        <c:majorGridlines>
          <c:spPr>
            <a:ln w="9525" cap="flat" cmpd="sng" algn="ctr">
              <a:solidFill>
                <a:srgbClr val="E6E6E6"/>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44444"/>
                </a:solidFill>
                <a:latin typeface="+mn-lt"/>
                <a:ea typeface="+mn-ea"/>
                <a:cs typeface="+mn-cs"/>
              </a:defRPr>
            </a:pPr>
            <a:endParaRPr lang="en-US"/>
          </a:p>
        </c:txPr>
        <c:crossAx val="1188249807"/>
        <c:crosses val="autoZero"/>
        <c:crossBetween val="between"/>
      </c:valAx>
      <c:spPr>
        <a:solidFill>
          <a:srgbClr val="F8F9F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[Sales_Performance_Dashboard.xlsx]Sales by category!PivotTable3</c:name>
    <c:fmtId val="6"/>
  </c:pivotSource>
  <c:chart>
    <c:title>
      <c:tx>
        <c:rich>
          <a:bodyPr rot="0" spcFirstLastPara="1" vertOverflow="ellipsis" vert="horz" wrap="square" anchor="ctr" anchorCtr="1"/>
          <a:lstStyle/>
          <a:p>
            <a:pPr algn="ctr">
              <a:defRPr sz="1400" b="0" i="0" u="none" strike="noStrike" kern="1200" spc="0" baseline="0">
                <a:solidFill>
                  <a:srgbClr val="1F4E78"/>
                </a:solidFill>
                <a:latin typeface="+mn-lt"/>
                <a:ea typeface="+mn-ea"/>
                <a:cs typeface="+mn-cs"/>
              </a:defRPr>
            </a:pPr>
            <a:r>
              <a:rPr lang="en-US">
                <a:solidFill>
                  <a:srgbClr val="1F4E78"/>
                </a:solidFill>
              </a:rPr>
              <a:t>Sales</a:t>
            </a:r>
            <a:r>
              <a:rPr lang="en-US" baseline="0">
                <a:solidFill>
                  <a:srgbClr val="1F4E78"/>
                </a:solidFill>
              </a:rPr>
              <a:t> by Category</a:t>
            </a:r>
            <a:endParaRPr lang="en-US">
              <a:solidFill>
                <a:srgbClr val="1F4E78"/>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5B9BD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D7D31"/>
          </a:solidFill>
          <a:ln w="19050">
            <a:solidFill>
              <a:schemeClr val="lt1"/>
            </a:solidFill>
          </a:ln>
          <a:effectLst/>
        </c:spPr>
      </c:pivotFmt>
      <c:pivotFmt>
        <c:idx val="8"/>
        <c:spPr>
          <a:solidFill>
            <a:srgbClr val="5B9BD5"/>
          </a:solidFill>
          <a:ln w="19050">
            <a:solidFill>
              <a:schemeClr val="lt1"/>
            </a:solidFill>
          </a:ln>
          <a:effectLst/>
        </c:spPr>
      </c:pivotFmt>
      <c:pivotFmt>
        <c:idx val="9"/>
        <c:spPr>
          <a:solidFill>
            <a:srgbClr val="70AD47"/>
          </a:solidFill>
          <a:ln w="19050">
            <a:solidFill>
              <a:schemeClr val="lt1"/>
            </a:solidFill>
          </a:ln>
          <a:effectLst/>
        </c:spPr>
      </c:pivotFmt>
      <c:pivotFmt>
        <c:idx val="10"/>
        <c:spPr>
          <a:solidFill>
            <a:srgbClr val="8064A2"/>
          </a:solidFill>
          <a:ln w="19050">
            <a:solidFill>
              <a:schemeClr val="lt1"/>
            </a:solidFill>
          </a:ln>
          <a:effectLst/>
        </c:spPr>
      </c:pivotFmt>
    </c:pivotFmts>
    <c:plotArea>
      <c:layout/>
      <c:doughnutChart>
        <c:varyColors val="1"/>
        <c:ser>
          <c:idx val="0"/>
          <c:order val="0"/>
          <c:tx>
            <c:strRef>
              <c:f>'Sales by category'!$B$3</c:f>
              <c:strCache>
                <c:ptCount val="1"/>
                <c:pt idx="0">
                  <c:v>Total</c:v>
                </c:pt>
              </c:strCache>
            </c:strRef>
          </c:tx>
          <c:spPr>
            <a:solidFill>
              <a:srgbClr val="5B9BD5"/>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DE28-453B-AFB0-10CAF749E848}"/>
              </c:ext>
            </c:extLst>
          </c:dPt>
          <c:dPt>
            <c:idx val="1"/>
            <c:bubble3D val="0"/>
            <c:spPr>
              <a:solidFill>
                <a:srgbClr val="5B9BD5"/>
              </a:solidFill>
              <a:ln w="19050">
                <a:solidFill>
                  <a:schemeClr val="lt1"/>
                </a:solidFill>
              </a:ln>
              <a:effectLst/>
            </c:spPr>
            <c:extLst>
              <c:ext xmlns:c16="http://schemas.microsoft.com/office/drawing/2014/chart" uri="{C3380CC4-5D6E-409C-BE32-E72D297353CC}">
                <c16:uniqueId val="{00000003-DE28-453B-AFB0-10CAF749E848}"/>
              </c:ext>
            </c:extLst>
          </c:dPt>
          <c:dPt>
            <c:idx val="2"/>
            <c:bubble3D val="0"/>
            <c:spPr>
              <a:solidFill>
                <a:srgbClr val="70AD47"/>
              </a:solidFill>
              <a:ln w="19050">
                <a:solidFill>
                  <a:schemeClr val="lt1"/>
                </a:solidFill>
              </a:ln>
              <a:effectLst/>
            </c:spPr>
            <c:extLst>
              <c:ext xmlns:c16="http://schemas.microsoft.com/office/drawing/2014/chart" uri="{C3380CC4-5D6E-409C-BE32-E72D297353CC}">
                <c16:uniqueId val="{00000005-DE28-453B-AFB0-10CAF749E848}"/>
              </c:ext>
            </c:extLst>
          </c:dPt>
          <c:dPt>
            <c:idx val="3"/>
            <c:bubble3D val="0"/>
            <c:spPr>
              <a:solidFill>
                <a:srgbClr val="8064A2"/>
              </a:solidFill>
              <a:ln w="19050">
                <a:solidFill>
                  <a:schemeClr val="lt1"/>
                </a:solidFill>
              </a:ln>
              <a:effectLst/>
            </c:spPr>
            <c:extLst>
              <c:ext xmlns:c16="http://schemas.microsoft.com/office/drawing/2014/chart" uri="{C3380CC4-5D6E-409C-BE32-E72D297353CC}">
                <c16:uniqueId val="{00000007-DE28-453B-AFB0-10CAF749E848}"/>
              </c:ext>
            </c:extLst>
          </c:dPt>
          <c:cat>
            <c:strRef>
              <c:f>'Sales by category'!$A$4:$A$8</c:f>
              <c:strCache>
                <c:ptCount val="4"/>
                <c:pt idx="0">
                  <c:v>Accessories</c:v>
                </c:pt>
                <c:pt idx="1">
                  <c:v>Electronics</c:v>
                </c:pt>
                <c:pt idx="2">
                  <c:v>Office</c:v>
                </c:pt>
                <c:pt idx="3">
                  <c:v>Storage</c:v>
                </c:pt>
              </c:strCache>
            </c:strRef>
          </c:cat>
          <c:val>
            <c:numRef>
              <c:f>'Sales by category'!$B$4:$B$8</c:f>
              <c:numCache>
                <c:formatCode>"₹"\ #,##0.00</c:formatCode>
                <c:ptCount val="4"/>
                <c:pt idx="0">
                  <c:v>12210550</c:v>
                </c:pt>
                <c:pt idx="1">
                  <c:v>82004500</c:v>
                </c:pt>
                <c:pt idx="2">
                  <c:v>13908000</c:v>
                </c:pt>
                <c:pt idx="3">
                  <c:v>4359600</c:v>
                </c:pt>
              </c:numCache>
            </c:numRef>
          </c:val>
          <c:extLst>
            <c:ext xmlns:c16="http://schemas.microsoft.com/office/drawing/2014/chart" uri="{C3380CC4-5D6E-409C-BE32-E72D297353CC}">
              <c16:uniqueId val="{00000008-DE28-453B-AFB0-10CAF749E84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4444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[Sales_Performance_Dashboard.xlsx]Top Products!PivotTable4</c:name>
    <c:fmtId val="2"/>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Top</a:t>
            </a:r>
            <a:r>
              <a:rPr lang="en-US" baseline="0">
                <a:solidFill>
                  <a:srgbClr val="7030A0"/>
                </a:solidFill>
              </a:rPr>
              <a:t>  10 Products by Revenue</a:t>
            </a:r>
          </a:p>
          <a:p>
            <a:pPr>
              <a:defRPr>
                <a:solidFill>
                  <a:srgbClr val="7030A0"/>
                </a:solidFill>
              </a:defRPr>
            </a:pPr>
            <a:endParaRPr lang="en-US">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64A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66446370178676"/>
          <c:y val="0.14845982788759973"/>
          <c:w val="0.70335067271199547"/>
          <c:h val="0.74223943631151668"/>
        </c:manualLayout>
      </c:layout>
      <c:barChart>
        <c:barDir val="bar"/>
        <c:grouping val="clustered"/>
        <c:varyColors val="0"/>
        <c:ser>
          <c:idx val="0"/>
          <c:order val="0"/>
          <c:tx>
            <c:strRef>
              <c:f>'Top Products'!$B$3</c:f>
              <c:strCache>
                <c:ptCount val="1"/>
                <c:pt idx="0">
                  <c:v>Total</c:v>
                </c:pt>
              </c:strCache>
            </c:strRef>
          </c:tx>
          <c:spPr>
            <a:solidFill>
              <a:srgbClr val="8064A2"/>
            </a:solidFill>
            <a:ln>
              <a:noFill/>
            </a:ln>
            <a:effectLst/>
          </c:spPr>
          <c:invertIfNegative val="0"/>
          <c:cat>
            <c:strRef>
              <c:f>'Top Products'!$A$4:$A$14</c:f>
              <c:strCache>
                <c:ptCount val="10"/>
                <c:pt idx="0">
                  <c:v>Laptop</c:v>
                </c:pt>
                <c:pt idx="1">
                  <c:v>Monitor</c:v>
                </c:pt>
                <c:pt idx="2">
                  <c:v>Tablet</c:v>
                </c:pt>
                <c:pt idx="3">
                  <c:v>Printer</c:v>
                </c:pt>
                <c:pt idx="4">
                  <c:v>SSD</c:v>
                </c:pt>
                <c:pt idx="5">
                  <c:v>Speaker</c:v>
                </c:pt>
                <c:pt idx="6">
                  <c:v>Webcam</c:v>
                </c:pt>
                <c:pt idx="7">
                  <c:v>Headphones</c:v>
                </c:pt>
                <c:pt idx="8">
                  <c:v>Keyboard</c:v>
                </c:pt>
                <c:pt idx="9">
                  <c:v>Mouse</c:v>
                </c:pt>
              </c:strCache>
            </c:strRef>
          </c:cat>
          <c:val>
            <c:numRef>
              <c:f>'Top Products'!$B$4:$B$14</c:f>
              <c:numCache>
                <c:formatCode>"₹"\ #,##0.00</c:formatCode>
                <c:ptCount val="10"/>
                <c:pt idx="0">
                  <c:v>46420000</c:v>
                </c:pt>
                <c:pt idx="1">
                  <c:v>20179500</c:v>
                </c:pt>
                <c:pt idx="2">
                  <c:v>15405000</c:v>
                </c:pt>
                <c:pt idx="3">
                  <c:v>13908000</c:v>
                </c:pt>
                <c:pt idx="4">
                  <c:v>4359600</c:v>
                </c:pt>
                <c:pt idx="5">
                  <c:v>4014000</c:v>
                </c:pt>
                <c:pt idx="6">
                  <c:v>3161600</c:v>
                </c:pt>
                <c:pt idx="7">
                  <c:v>2752400</c:v>
                </c:pt>
                <c:pt idx="8">
                  <c:v>1504500</c:v>
                </c:pt>
                <c:pt idx="9">
                  <c:v>778050</c:v>
                </c:pt>
              </c:numCache>
            </c:numRef>
          </c:val>
          <c:extLst>
            <c:ext xmlns:c16="http://schemas.microsoft.com/office/drawing/2014/chart" uri="{C3380CC4-5D6E-409C-BE32-E72D297353CC}">
              <c16:uniqueId val="{00000000-B6AB-474D-A769-F0FA72623EBC}"/>
            </c:ext>
          </c:extLst>
        </c:ser>
        <c:dLbls>
          <c:showLegendKey val="0"/>
          <c:showVal val="0"/>
          <c:showCatName val="0"/>
          <c:showSerName val="0"/>
          <c:showPercent val="0"/>
          <c:showBubbleSize val="0"/>
        </c:dLbls>
        <c:gapWidth val="182"/>
        <c:axId val="1188264207"/>
        <c:axId val="1188265167"/>
      </c:barChart>
      <c:catAx>
        <c:axId val="118826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44444"/>
                </a:solidFill>
                <a:latin typeface="+mn-lt"/>
                <a:ea typeface="+mn-ea"/>
                <a:cs typeface="+mn-cs"/>
              </a:defRPr>
            </a:pPr>
            <a:endParaRPr lang="en-US"/>
          </a:p>
        </c:txPr>
        <c:crossAx val="1188265167"/>
        <c:crosses val="autoZero"/>
        <c:auto val="1"/>
        <c:lblAlgn val="ctr"/>
        <c:lblOffset val="100"/>
        <c:noMultiLvlLbl val="0"/>
      </c:catAx>
      <c:valAx>
        <c:axId val="11882651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44444"/>
                </a:solidFill>
                <a:latin typeface="+mn-lt"/>
                <a:ea typeface="+mn-ea"/>
                <a:cs typeface="+mn-cs"/>
              </a:defRPr>
            </a:pPr>
            <a:endParaRPr lang="en-US"/>
          </a:p>
        </c:txPr>
        <c:crossAx val="1188264207"/>
        <c:crosses val="autoZero"/>
        <c:crossBetween val="between"/>
      </c:valAx>
      <c:spPr>
        <a:solidFill>
          <a:srgbClr val="F8F9FA"/>
        </a:solidFill>
        <a:ln w="12700">
          <a:solidFill>
            <a:srgbClr val="D9D9D9"/>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[Sales_Performance_Dashboard.xlsx]Revenue by Salesperson!PivotTable5</c:name>
    <c:fmtId val="2"/>
  </c:pivotSource>
  <c:chart>
    <c:title>
      <c:tx>
        <c:rich>
          <a:bodyPr rot="0" spcFirstLastPara="1" vertOverflow="ellipsis" vert="horz" wrap="square" anchor="ctr" anchorCtr="1"/>
          <a:lstStyle/>
          <a:p>
            <a:pPr>
              <a:defRPr sz="1400" b="0" i="0" u="none" strike="noStrike" kern="1200" spc="0" baseline="0">
                <a:solidFill>
                  <a:srgbClr val="1F4E78"/>
                </a:solidFill>
                <a:latin typeface="+mn-lt"/>
                <a:ea typeface="+mn-ea"/>
                <a:cs typeface="+mn-cs"/>
              </a:defRPr>
            </a:pPr>
            <a:r>
              <a:rPr lang="en-US">
                <a:solidFill>
                  <a:srgbClr val="1F4E78"/>
                </a:solidFill>
              </a:rPr>
              <a:t>Revenue</a:t>
            </a:r>
            <a:r>
              <a:rPr lang="en-US" baseline="0">
                <a:solidFill>
                  <a:srgbClr val="1F4E78"/>
                </a:solidFill>
              </a:rPr>
              <a:t> by Salesperson</a:t>
            </a:r>
            <a:endParaRPr lang="en-US">
              <a:solidFill>
                <a:srgbClr val="1F4E78"/>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F4E78"/>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Salesperson'!$B$3</c:f>
              <c:strCache>
                <c:ptCount val="1"/>
                <c:pt idx="0">
                  <c:v>Total</c:v>
                </c:pt>
              </c:strCache>
            </c:strRef>
          </c:tx>
          <c:spPr>
            <a:solidFill>
              <a:srgbClr val="4472C4"/>
            </a:solidFill>
            <a:ln>
              <a:noFill/>
            </a:ln>
            <a:effectLst/>
          </c:spPr>
          <c:invertIfNegative val="0"/>
          <c:cat>
            <c:strRef>
              <c:f>'Revenue by Salesperson'!$A$4:$A$10</c:f>
              <c:strCache>
                <c:ptCount val="6"/>
                <c:pt idx="0">
                  <c:v>Amit</c:v>
                </c:pt>
                <c:pt idx="1">
                  <c:v>Arun</c:v>
                </c:pt>
                <c:pt idx="2">
                  <c:v>Kiran</c:v>
                </c:pt>
                <c:pt idx="3">
                  <c:v>Priya</c:v>
                </c:pt>
                <c:pt idx="4">
                  <c:v>Rahul</c:v>
                </c:pt>
                <c:pt idx="5">
                  <c:v>Sneha</c:v>
                </c:pt>
              </c:strCache>
            </c:strRef>
          </c:cat>
          <c:val>
            <c:numRef>
              <c:f>'Revenue by Salesperson'!$B$4:$B$10</c:f>
              <c:numCache>
                <c:formatCode>"₹"\ #,##0.00</c:formatCode>
                <c:ptCount val="6"/>
                <c:pt idx="0">
                  <c:v>16611100</c:v>
                </c:pt>
                <c:pt idx="1">
                  <c:v>18679600</c:v>
                </c:pt>
                <c:pt idx="2">
                  <c:v>22682600</c:v>
                </c:pt>
                <c:pt idx="3">
                  <c:v>12809950</c:v>
                </c:pt>
                <c:pt idx="4">
                  <c:v>22628050</c:v>
                </c:pt>
                <c:pt idx="5">
                  <c:v>19071350</c:v>
                </c:pt>
              </c:numCache>
            </c:numRef>
          </c:val>
          <c:extLst>
            <c:ext xmlns:c16="http://schemas.microsoft.com/office/drawing/2014/chart" uri="{C3380CC4-5D6E-409C-BE32-E72D297353CC}">
              <c16:uniqueId val="{00000000-530F-4EEB-9AA7-18F64AA3B01D}"/>
            </c:ext>
          </c:extLst>
        </c:ser>
        <c:dLbls>
          <c:showLegendKey val="0"/>
          <c:showVal val="0"/>
          <c:showCatName val="0"/>
          <c:showSerName val="0"/>
          <c:showPercent val="0"/>
          <c:showBubbleSize val="0"/>
        </c:dLbls>
        <c:gapWidth val="219"/>
        <c:overlap val="-27"/>
        <c:axId val="1188272847"/>
        <c:axId val="1188273327"/>
      </c:barChart>
      <c:catAx>
        <c:axId val="118827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44444"/>
                </a:solidFill>
                <a:latin typeface="+mn-lt"/>
                <a:ea typeface="+mn-ea"/>
                <a:cs typeface="+mn-cs"/>
              </a:defRPr>
            </a:pPr>
            <a:endParaRPr lang="en-US"/>
          </a:p>
        </c:txPr>
        <c:crossAx val="1188273327"/>
        <c:crosses val="autoZero"/>
        <c:auto val="1"/>
        <c:lblAlgn val="ctr"/>
        <c:lblOffset val="100"/>
        <c:noMultiLvlLbl val="0"/>
      </c:catAx>
      <c:valAx>
        <c:axId val="1188273327"/>
        <c:scaling>
          <c:orientation val="minMax"/>
        </c:scaling>
        <c:delete val="0"/>
        <c:axPos val="l"/>
        <c:majorGridlines>
          <c:spPr>
            <a:ln w="9525" cap="flat" cmpd="sng" algn="ctr">
              <a:solidFill>
                <a:srgbClr val="E6E6E6"/>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44444"/>
                </a:solidFill>
                <a:latin typeface="+mn-lt"/>
                <a:ea typeface="+mn-ea"/>
                <a:cs typeface="+mn-cs"/>
              </a:defRPr>
            </a:pPr>
            <a:endParaRPr lang="en-US"/>
          </a:p>
        </c:txPr>
        <c:crossAx val="1188272847"/>
        <c:crosses val="autoZero"/>
        <c:crossBetween val="between"/>
      </c:valAx>
      <c:spPr>
        <a:solidFill>
          <a:srgbClr val="F8F9FA"/>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D9D9D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[Sales_Performance_Dashboard.xlsx]Revenue by month!PivotTable1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month'!$B$3</c:f>
              <c:strCache>
                <c:ptCount val="1"/>
                <c:pt idx="0">
                  <c:v>Total</c:v>
                </c:pt>
              </c:strCache>
            </c:strRef>
          </c:tx>
          <c:spPr>
            <a:solidFill>
              <a:schemeClr val="accent1"/>
            </a:solidFill>
            <a:ln>
              <a:noFill/>
            </a:ln>
            <a:effectLst/>
          </c:spPr>
          <c:invertIfNegative val="0"/>
          <c:cat>
            <c:multiLvlStrRef>
              <c:f>'Revenue by month'!$A$4:$A$17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'Revenue by month'!$B$4:$B$17</c:f>
              <c:numCache>
                <c:formatCode>"₹"\ #,##0.00</c:formatCode>
                <c:ptCount val="12"/>
                <c:pt idx="0">
                  <c:v>9623200</c:v>
                </c:pt>
                <c:pt idx="1">
                  <c:v>11330600</c:v>
                </c:pt>
                <c:pt idx="2">
                  <c:v>10319650</c:v>
                </c:pt>
                <c:pt idx="3">
                  <c:v>6598400</c:v>
                </c:pt>
                <c:pt idx="4">
                  <c:v>9696600</c:v>
                </c:pt>
                <c:pt idx="5">
                  <c:v>7728500</c:v>
                </c:pt>
                <c:pt idx="6">
                  <c:v>8440250</c:v>
                </c:pt>
                <c:pt idx="7">
                  <c:v>9536100</c:v>
                </c:pt>
                <c:pt idx="8">
                  <c:v>12338000</c:v>
                </c:pt>
                <c:pt idx="9">
                  <c:v>9975000</c:v>
                </c:pt>
                <c:pt idx="10">
                  <c:v>10123700</c:v>
                </c:pt>
                <c:pt idx="11">
                  <c:v>6772650</c:v>
                </c:pt>
              </c:numCache>
            </c:numRef>
          </c:val>
          <c:extLst>
            <c:ext xmlns:c16="http://schemas.microsoft.com/office/drawing/2014/chart" uri="{C3380CC4-5D6E-409C-BE32-E72D297353CC}">
              <c16:uniqueId val="{00000000-0926-49A2-90E5-814FFD7C28BD}"/>
            </c:ext>
          </c:extLst>
        </c:ser>
        <c:dLbls>
          <c:showLegendKey val="0"/>
          <c:showVal val="0"/>
          <c:showCatName val="0"/>
          <c:showSerName val="0"/>
          <c:showPercent val="0"/>
          <c:showBubbleSize val="0"/>
        </c:dLbls>
        <c:gapWidth val="219"/>
        <c:overlap val="-27"/>
        <c:axId val="1188211407"/>
        <c:axId val="1188228207"/>
      </c:barChart>
      <c:catAx>
        <c:axId val="118821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28207"/>
        <c:crosses val="autoZero"/>
        <c:auto val="1"/>
        <c:lblAlgn val="ctr"/>
        <c:lblOffset val="100"/>
        <c:noMultiLvlLbl val="0"/>
      </c:catAx>
      <c:valAx>
        <c:axId val="1188228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1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[Sales_Performance_Dashboard.xlsx]Profit by region!PivotTable2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region'!$B$3</c:f>
              <c:strCache>
                <c:ptCount val="1"/>
                <c:pt idx="0">
                  <c:v>Total</c:v>
                </c:pt>
              </c:strCache>
            </c:strRef>
          </c:tx>
          <c:spPr>
            <a:solidFill>
              <a:schemeClr val="accent1"/>
            </a:solidFill>
            <a:ln>
              <a:noFill/>
            </a:ln>
            <a:effectLst/>
          </c:spPr>
          <c:invertIfNegative val="0"/>
          <c:cat>
            <c:strRef>
              <c:f>'Profit by region'!$A$4:$A$9</c:f>
              <c:strCache>
                <c:ptCount val="5"/>
                <c:pt idx="0">
                  <c:v>Central</c:v>
                </c:pt>
                <c:pt idx="1">
                  <c:v>East</c:v>
                </c:pt>
                <c:pt idx="2">
                  <c:v>North</c:v>
                </c:pt>
                <c:pt idx="3">
                  <c:v>South</c:v>
                </c:pt>
                <c:pt idx="4">
                  <c:v>West</c:v>
                </c:pt>
              </c:strCache>
            </c:strRef>
          </c:cat>
          <c:val>
            <c:numRef>
              <c:f>'Profit by region'!$B$4:$B$9</c:f>
              <c:numCache>
                <c:formatCode>"₹"\ #,##0.00</c:formatCode>
                <c:ptCount val="5"/>
                <c:pt idx="0">
                  <c:v>5328700</c:v>
                </c:pt>
                <c:pt idx="1">
                  <c:v>6331900</c:v>
                </c:pt>
                <c:pt idx="2">
                  <c:v>5327200</c:v>
                </c:pt>
                <c:pt idx="3">
                  <c:v>6535400</c:v>
                </c:pt>
                <c:pt idx="4">
                  <c:v>6100350</c:v>
                </c:pt>
              </c:numCache>
            </c:numRef>
          </c:val>
          <c:extLst>
            <c:ext xmlns:c16="http://schemas.microsoft.com/office/drawing/2014/chart" uri="{C3380CC4-5D6E-409C-BE32-E72D297353CC}">
              <c16:uniqueId val="{00000000-B5D6-4A20-A671-13C5F466D177}"/>
            </c:ext>
          </c:extLst>
        </c:ser>
        <c:dLbls>
          <c:showLegendKey val="0"/>
          <c:showVal val="0"/>
          <c:showCatName val="0"/>
          <c:showSerName val="0"/>
          <c:showPercent val="0"/>
          <c:showBubbleSize val="0"/>
        </c:dLbls>
        <c:gapWidth val="182"/>
        <c:axId val="1188249807"/>
        <c:axId val="1188241167"/>
      </c:barChart>
      <c:catAx>
        <c:axId val="118824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41167"/>
        <c:crosses val="autoZero"/>
        <c:auto val="1"/>
        <c:lblAlgn val="ctr"/>
        <c:lblOffset val="100"/>
        <c:noMultiLvlLbl val="0"/>
      </c:catAx>
      <c:valAx>
        <c:axId val="118824116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24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[Sales_Performance_Dashboard.xlsx]Sales by category!PivotTable3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'Sales by 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B1-4187-8E5E-5111605FA7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B1-4187-8E5E-5111605FA7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B1-4187-8E5E-5111605FA7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B1-4187-8E5E-5111605FA760}"/>
              </c:ext>
            </c:extLst>
          </c:dPt>
          <c:cat>
            <c:strRef>
              <c:f>'Sales by category'!$A$4:$A$8</c:f>
              <c:strCache>
                <c:ptCount val="4"/>
                <c:pt idx="0">
                  <c:v>Accessories</c:v>
                </c:pt>
                <c:pt idx="1">
                  <c:v>Electronics</c:v>
                </c:pt>
                <c:pt idx="2">
                  <c:v>Office</c:v>
                </c:pt>
                <c:pt idx="3">
                  <c:v>Storage</c:v>
                </c:pt>
              </c:strCache>
            </c:strRef>
          </c:cat>
          <c:val>
            <c:numRef>
              <c:f>'Sales by category'!$B$4:$B$8</c:f>
              <c:numCache>
                <c:formatCode>"₹"\ #,##0.00</c:formatCode>
                <c:ptCount val="4"/>
                <c:pt idx="0">
                  <c:v>12210550</c:v>
                </c:pt>
                <c:pt idx="1">
                  <c:v>82004500</c:v>
                </c:pt>
                <c:pt idx="2">
                  <c:v>13908000</c:v>
                </c:pt>
                <c:pt idx="3">
                  <c:v>4359600</c:v>
                </c:pt>
              </c:numCache>
            </c:numRef>
          </c:val>
          <c:extLst>
            <c:ext xmlns:c16="http://schemas.microsoft.com/office/drawing/2014/chart" uri="{C3380CC4-5D6E-409C-BE32-E72D297353CC}">
              <c16:uniqueId val="{00000000-07AE-4F4F-98E5-349E6F7E69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87630</xdr:colOff>
      <xdr:row>6</xdr:row>
      <xdr:rowOff>41910</xdr:rowOff>
    </xdr:from>
    <xdr:to>
      <xdr:col>12</xdr:col>
      <xdr:colOff>392430</xdr:colOff>
      <xdr:row>21</xdr:row>
      <xdr:rowOff>41910</xdr:rowOff>
    </xdr:to>
    <xdr:graphicFrame macro="">
      <xdr:nvGraphicFramePr>
        <xdr:cNvPr id="2" name="Chart 1">
          <a:extLst>
            <a:ext uri="{FF2B5EF4-FFF2-40B4-BE49-F238E27FC236}">
              <a16:creationId xmlns:a16="http://schemas.microsoft.com/office/drawing/2014/main" id="{75572FF9-61DE-58F6-4BD8-3C9240CFC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87630</xdr:colOff>
      <xdr:row>6</xdr:row>
      <xdr:rowOff>41910</xdr:rowOff>
    </xdr:from>
    <xdr:to>
      <xdr:col>12</xdr:col>
      <xdr:colOff>392430</xdr:colOff>
      <xdr:row>21</xdr:row>
      <xdr:rowOff>41910</xdr:rowOff>
    </xdr:to>
    <xdr:graphicFrame macro="">
      <xdr:nvGraphicFramePr>
        <xdr:cNvPr id="2" name="Chart 1">
          <a:extLst>
            <a:ext uri="{FF2B5EF4-FFF2-40B4-BE49-F238E27FC236}">
              <a16:creationId xmlns:a16="http://schemas.microsoft.com/office/drawing/2014/main" id="{7D543B35-0AB1-1EDE-F6C4-7899E426B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485103</xdr:colOff>
      <xdr:row>27</xdr:row>
      <xdr:rowOff>21454</xdr:rowOff>
    </xdr:from>
    <xdr:to>
      <xdr:col>4</xdr:col>
      <xdr:colOff>435127</xdr:colOff>
      <xdr:row>42</xdr:row>
      <xdr:rowOff>113649</xdr:rowOff>
    </xdr:to>
    <xdr:graphicFrame macro="">
      <xdr:nvGraphicFramePr>
        <xdr:cNvPr id="2" name="Chart 1">
          <a:extLst>
            <a:ext uri="{FF2B5EF4-FFF2-40B4-BE49-F238E27FC236}">
              <a16:creationId xmlns:a16="http://schemas.microsoft.com/office/drawing/2014/main" id="{A478758A-5321-40CA-BB49-72B6D7E1E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144777</xdr:colOff>
      <xdr:row>27</xdr:row>
      <xdr:rowOff>49094</xdr:rowOff>
    </xdr:from>
    <xdr:to>
      <xdr:col>13</xdr:col>
      <xdr:colOff>96485</xdr:colOff>
      <xdr:row>42</xdr:row>
      <xdr:rowOff>141289</xdr:rowOff>
    </xdr:to>
    <xdr:graphicFrame macro="">
      <xdr:nvGraphicFramePr>
        <xdr:cNvPr id="4" name="Chart 3">
          <a:extLst>
            <a:ext uri="{FF2B5EF4-FFF2-40B4-BE49-F238E27FC236}">
              <a16:creationId xmlns:a16="http://schemas.microsoft.com/office/drawing/2014/main" id="{E9B57B87-BBCF-40BA-98A2-C068BB4BA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486034</xdr:colOff>
      <xdr:row>44</xdr:row>
      <xdr:rowOff>110450</xdr:rowOff>
    </xdr:from>
    <xdr:to>
      <xdr:col>4</xdr:col>
      <xdr:colOff>436058</xdr:colOff>
      <xdr:row>60</xdr:row>
      <xdr:rowOff>16791</xdr:rowOff>
    </xdr:to>
    <xdr:graphicFrame macro="">
      <xdr:nvGraphicFramePr>
        <xdr:cNvPr id="5" name="Chart 4">
          <a:extLst>
            <a:ext uri="{FF2B5EF4-FFF2-40B4-BE49-F238E27FC236}">
              <a16:creationId xmlns:a16="http://schemas.microsoft.com/office/drawing/2014/main" id="{84E420E3-E02A-4132-9175-59083B70E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166010</xdr:colOff>
      <xdr:row>44</xdr:row>
      <xdr:rowOff>109417</xdr:rowOff>
    </xdr:from>
    <xdr:to>
      <xdr:col>13</xdr:col>
      <xdr:colOff>117718</xdr:colOff>
      <xdr:row>60</xdr:row>
      <xdr:rowOff>15758</xdr:rowOff>
    </xdr:to>
    <xdr:graphicFrame macro="">
      <xdr:nvGraphicFramePr>
        <xdr:cNvPr id="6" name="Chart 5">
          <a:extLst>
            <a:ext uri="{FF2B5EF4-FFF2-40B4-BE49-F238E27FC236}">
              <a16:creationId xmlns:a16="http://schemas.microsoft.com/office/drawing/2014/main" id="{FBC9D2C1-0BB0-433B-B5A2-C9ED56EC0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453583</xdr:colOff>
      <xdr:row>61</xdr:row>
      <xdr:rowOff>152373</xdr:rowOff>
    </xdr:from>
    <xdr:to>
      <xdr:col>6</xdr:col>
      <xdr:colOff>118241</xdr:colOff>
      <xdr:row>77</xdr:row>
      <xdr:rowOff>58715</xdr:rowOff>
    </xdr:to>
    <xdr:graphicFrame macro="">
      <xdr:nvGraphicFramePr>
        <xdr:cNvPr id="7" name="Chart 6">
          <a:extLst>
            <a:ext uri="{FF2B5EF4-FFF2-40B4-BE49-F238E27FC236}">
              <a16:creationId xmlns:a16="http://schemas.microsoft.com/office/drawing/2014/main" id="{C8A2AC29-EF05-4777-9B6D-D9FD6A489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510015</xdr:colOff>
      <xdr:row>9</xdr:row>
      <xdr:rowOff>140105</xdr:rowOff>
    </xdr:from>
    <xdr:to>
      <xdr:col>2</xdr:col>
      <xdr:colOff>519294</xdr:colOff>
      <xdr:row>21</xdr:row>
      <xdr:rowOff>156609</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60CC65B3-9FAB-4CA9-BAD6-0C54F28B8C2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14360" y="2058243"/>
              <a:ext cx="1822313" cy="2223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544912</xdr:colOff>
      <xdr:row>9</xdr:row>
      <xdr:rowOff>181976</xdr:rowOff>
    </xdr:from>
    <xdr:to>
      <xdr:col>5</xdr:col>
      <xdr:colOff>80425</xdr:colOff>
      <xdr:row>21</xdr:row>
      <xdr:rowOff>101999</xdr:rowOff>
    </xdr:to>
    <mc:AlternateContent xmlns:mc="http://schemas.openxmlformats.org/markup-compatibility/2006" xmlns:a14="http://schemas.microsoft.com/office/drawing/2010/main">
      <mc:Choice Requires="a14">
        <xdr:graphicFrame macro="">
          <xdr:nvGraphicFramePr>
            <xdr:cNvPr id="9" name="Salesperson 1">
              <a:extLst>
                <a:ext uri="{FF2B5EF4-FFF2-40B4-BE49-F238E27FC236}">
                  <a16:creationId xmlns:a16="http://schemas.microsoft.com/office/drawing/2014/main" id="{A58E1F89-E61E-4540-97A8-2A39396FFADB}"/>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3566636" y="2100114"/>
              <a:ext cx="1834651" cy="2127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637908</xdr:colOff>
      <xdr:row>10</xdr:row>
      <xdr:rowOff>2255</xdr:rowOff>
    </xdr:from>
    <xdr:to>
      <xdr:col>7</xdr:col>
      <xdr:colOff>546656</xdr:colOff>
      <xdr:row>21</xdr:row>
      <xdr:rowOff>103973</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E132A50E-F1D5-4CE7-8717-9EED9FA796E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958770" y="2104324"/>
              <a:ext cx="1813748" cy="2124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251460</xdr:colOff>
      <xdr:row>2</xdr:row>
      <xdr:rowOff>34290</xdr:rowOff>
    </xdr:from>
    <xdr:to>
      <xdr:col>10</xdr:col>
      <xdr:colOff>236220</xdr:colOff>
      <xdr:row>17</xdr:row>
      <xdr:rowOff>34290</xdr:rowOff>
    </xdr:to>
    <xdr:graphicFrame macro="">
      <xdr:nvGraphicFramePr>
        <xdr:cNvPr id="2" name="Chart 1">
          <a:extLst>
            <a:ext uri="{FF2B5EF4-FFF2-40B4-BE49-F238E27FC236}">
              <a16:creationId xmlns:a16="http://schemas.microsoft.com/office/drawing/2014/main" id="{55482C91-B2E5-AC41-31E5-C0E7E053CF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15240</xdr:colOff>
      <xdr:row>8</xdr:row>
      <xdr:rowOff>15240</xdr:rowOff>
    </xdr:from>
    <xdr:to>
      <xdr:col>18</xdr:col>
      <xdr:colOff>533400</xdr:colOff>
      <xdr:row>21</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8B84528-3538-9EC7-06CD-DC1824CCD3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32820" y="1478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487680</xdr:colOff>
      <xdr:row>21</xdr:row>
      <xdr:rowOff>121920</xdr:rowOff>
    </xdr:from>
    <xdr:to>
      <xdr:col>13</xdr:col>
      <xdr:colOff>350520</xdr:colOff>
      <xdr:row>35</xdr:row>
      <xdr:rowOff>28575</xdr:rowOff>
    </xdr:to>
    <mc:AlternateContent xmlns:mc="http://schemas.openxmlformats.org/markup-compatibility/2006" xmlns:a14="http://schemas.microsoft.com/office/drawing/2010/main">
      <mc:Choice Requires="a14">
        <xdr:graphicFrame macro="">
          <xdr:nvGraphicFramePr>
            <xdr:cNvPr id="4" name="Salesperson">
              <a:extLst>
                <a:ext uri="{FF2B5EF4-FFF2-40B4-BE49-F238E27FC236}">
                  <a16:creationId xmlns:a16="http://schemas.microsoft.com/office/drawing/2014/main" id="{5C02161B-A0C5-FBA0-6D02-0E6E742979A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7673340" y="3962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45720</xdr:colOff>
      <xdr:row>5</xdr:row>
      <xdr:rowOff>137160</xdr:rowOff>
    </xdr:from>
    <xdr:to>
      <xdr:col>14</xdr:col>
      <xdr:colOff>563880</xdr:colOff>
      <xdr:row>19</xdr:row>
      <xdr:rowOff>43815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D6FBE9A9-21DD-FEDC-A6A3-DBB8836D3F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481060" y="1051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38100</xdr:colOff>
      <xdr:row>6</xdr:row>
      <xdr:rowOff>41910</xdr:rowOff>
    </xdr:from>
    <xdr:to>
      <xdr:col>11</xdr:col>
      <xdr:colOff>342900</xdr:colOff>
      <xdr:row>21</xdr:row>
      <xdr:rowOff>41910</xdr:rowOff>
    </xdr:to>
    <xdr:graphicFrame macro="">
      <xdr:nvGraphicFramePr>
        <xdr:cNvPr id="3" name="Chart 2">
          <a:extLst>
            <a:ext uri="{FF2B5EF4-FFF2-40B4-BE49-F238E27FC236}">
              <a16:creationId xmlns:a16="http://schemas.microsoft.com/office/drawing/2014/main" id="{A310D867-A48A-362F-84EC-C9F0B6628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91440</xdr:colOff>
      <xdr:row>6</xdr:row>
      <xdr:rowOff>41910</xdr:rowOff>
    </xdr:from>
    <xdr:to>
      <xdr:col>11</xdr:col>
      <xdr:colOff>396240</xdr:colOff>
      <xdr:row>21</xdr:row>
      <xdr:rowOff>41910</xdr:rowOff>
    </xdr:to>
    <xdr:graphicFrame macro="">
      <xdr:nvGraphicFramePr>
        <xdr:cNvPr id="2" name="Chart 1">
          <a:extLst>
            <a:ext uri="{FF2B5EF4-FFF2-40B4-BE49-F238E27FC236}">
              <a16:creationId xmlns:a16="http://schemas.microsoft.com/office/drawing/2014/main" id="{2DB7AB3D-03D4-B5FF-4915-C9BDED2EA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YDIA.V U21SC074" refreshedDate="46225.530712615742" createdVersion="8" refreshedVersion="8" minRefreshableVersion="3" recordCount="1000" xr:uid="{5961D208-FFCE-406F-BCAB-275FC9714DF0}">
  <cacheSource type="worksheet">
    <worksheetSource name="Table1"/>
  </cacheSource>
  <cacheFields count="16">
    <cacheField name="Order ID" numFmtId="0">
      <sharedItems/>
    </cacheField>
    <cacheField name="Order Date" numFmtId="164">
      <sharedItems containsSemiMixedTypes="0" containsNonDate="0" containsDate="1" containsString="0" minDate="2025-01-01T00:00:00" maxDate="2026-01-01T00:00:00" count="349">
        <d v="2025-10-19T00:00:00"/>
        <d v="2025-02-16T00:00:00"/>
        <d v="2025-11-03T00:00:00"/>
        <d v="2025-04-22T00:00:00"/>
        <d v="2025-08-24T00:00:00"/>
        <d v="2025-01-05T00:00:00"/>
        <d v="2025-11-04T00:00:00"/>
        <d v="2025-02-13T00:00:00"/>
        <d v="2025-08-31T00:00:00"/>
        <d v="2025-03-10T00:00:00"/>
        <d v="2025-07-21T00:00:00"/>
        <d v="2025-02-15T00:00:00"/>
        <d v="2025-08-12T00:00:00"/>
        <d v="2025-08-07T00:00:00"/>
        <d v="2025-05-19T00:00:00"/>
        <d v="2025-09-14T00:00:00"/>
        <d v="2025-12-12T00:00:00"/>
        <d v="2025-07-13T00:00:00"/>
        <d v="2025-04-21T00:00:00"/>
        <d v="2025-08-06T00:00:00"/>
        <d v="2025-08-29T00:00:00"/>
        <d v="2025-10-17T00:00:00"/>
        <d v="2025-09-04T00:00:00"/>
        <d v="2025-02-06T00:00:00"/>
        <d v="2025-03-20T00:00:00"/>
        <d v="2025-06-07T00:00:00"/>
        <d v="2025-06-24T00:00:00"/>
        <d v="2025-05-15T00:00:00"/>
        <d v="2025-09-06T00:00:00"/>
        <d v="2025-01-16T00:00:00"/>
        <d v="2025-10-26T00:00:00"/>
        <d v="2025-04-27T00:00:00"/>
        <d v="2025-12-21T00:00:00"/>
        <d v="2025-06-27T00:00:00"/>
        <d v="2025-05-05T00:00:00"/>
        <d v="2025-03-01T00:00:00"/>
        <d v="2025-10-16T00:00:00"/>
        <d v="2025-01-06T00:00:00"/>
        <d v="2025-05-22T00:00:00"/>
        <d v="2025-05-06T00:00:00"/>
        <d v="2025-04-16T00:00:00"/>
        <d v="2025-10-31T00:00:00"/>
        <d v="2025-07-02T00:00:00"/>
        <d v="2025-10-08T00:00:00"/>
        <d v="2025-06-18T00:00:00"/>
        <d v="2025-11-30T00:00:00"/>
        <d v="2025-05-01T00:00:00"/>
        <d v="2025-04-14T00:00:00"/>
        <d v="2025-03-06T00:00:00"/>
        <d v="2025-09-23T00:00:00"/>
        <d v="2025-02-22T00:00:00"/>
        <d v="2025-06-01T00:00:00"/>
        <d v="2025-10-05T00:00:00"/>
        <d v="2025-02-02T00:00:00"/>
        <d v="2025-05-07T00:00:00"/>
        <d v="2025-01-15T00:00:00"/>
        <d v="2025-12-14T00:00:00"/>
        <d v="2025-08-26T00:00:00"/>
        <d v="2025-02-25T00:00:00"/>
        <d v="2025-12-31T00:00:00"/>
        <d v="2025-05-03T00:00:00"/>
        <d v="2025-11-23T00:00:00"/>
        <d v="2025-05-18T00:00:00"/>
        <d v="2025-02-03T00:00:00"/>
        <d v="2025-02-24T00:00:00"/>
        <d v="2025-11-01T00:00:00"/>
        <d v="2025-06-08T00:00:00"/>
        <d v="2025-04-11T00:00:00"/>
        <d v="2025-06-02T00:00:00"/>
        <d v="2025-07-18T00:00:00"/>
        <d v="2025-11-21T00:00:00"/>
        <d v="2025-05-30T00:00:00"/>
        <d v="2025-06-15T00:00:00"/>
        <d v="2025-07-31T00:00:00"/>
        <d v="2025-12-13T00:00:00"/>
        <d v="2025-01-22T00:00:00"/>
        <d v="2025-11-05T00:00:00"/>
        <d v="2025-01-20T00:00:00"/>
        <d v="2025-01-23T00:00:00"/>
        <d v="2025-10-29T00:00:00"/>
        <d v="2025-02-26T00:00:00"/>
        <d v="2025-03-28T00:00:00"/>
        <d v="2025-02-19T00:00:00"/>
        <d v="2025-07-17T00:00:00"/>
        <d v="2025-05-12T00:00:00"/>
        <d v="2025-09-29T00:00:00"/>
        <d v="2025-01-30T00:00:00"/>
        <d v="2025-04-12T00:00:00"/>
        <d v="2025-02-17T00:00:00"/>
        <d v="2025-11-29T00:00:00"/>
        <d v="2025-06-26T00:00:00"/>
        <d v="2025-11-12T00:00:00"/>
        <d v="2025-11-20T00:00:00"/>
        <d v="2025-04-23T00:00:00"/>
        <d v="2025-02-28T00:00:00"/>
        <d v="2025-02-27T00:00:00"/>
        <d v="2025-09-11T00:00:00"/>
        <d v="2025-10-18T00:00:00"/>
        <d v="2025-05-08T00:00:00"/>
        <d v="2025-06-21T00:00:00"/>
        <d v="2025-04-04T00:00:00"/>
        <d v="2025-06-23T00:00:00"/>
        <d v="2025-11-15T00:00:00"/>
        <d v="2025-03-07T00:00:00"/>
        <d v="2025-12-22T00:00:00"/>
        <d v="2025-08-17T00:00:00"/>
        <d v="2025-04-07T00:00:00"/>
        <d v="2025-10-12T00:00:00"/>
        <d v="2025-05-14T00:00:00"/>
        <d v="2025-02-08T00:00:00"/>
        <d v="2025-10-01T00:00:00"/>
        <d v="2025-01-21T00:00:00"/>
        <d v="2025-06-13T00:00:00"/>
        <d v="2025-01-10T00:00:00"/>
        <d v="2025-12-03T00:00:00"/>
        <d v="2025-09-26T00:00:00"/>
        <d v="2025-08-09T00:00:00"/>
        <d v="2025-07-03T00:00:00"/>
        <d v="2025-05-27T00:00:00"/>
        <d v="2025-12-04T00:00:00"/>
        <d v="2025-12-09T00:00:00"/>
        <d v="2025-07-23T00:00:00"/>
        <d v="2025-05-26T00:00:00"/>
        <d v="2025-11-28T00:00:00"/>
        <d v="2025-10-28T00:00:00"/>
        <d v="2025-05-16T00:00:00"/>
        <d v="2025-07-19T00:00:00"/>
        <d v="2025-05-31T00:00:00"/>
        <d v="2025-11-24T00:00:00"/>
        <d v="2025-08-22T00:00:00"/>
        <d v="2025-04-01T00:00:00"/>
        <d v="2025-08-01T00:00:00"/>
        <d v="2025-05-04T00:00:00"/>
        <d v="2025-10-20T00:00:00"/>
        <d v="2025-12-27T00:00:00"/>
        <d v="2025-01-11T00:00:00"/>
        <d v="2025-12-06T00:00:00"/>
        <d v="2025-09-03T00:00:00"/>
        <d v="2025-09-21T00:00:00"/>
        <d v="2025-01-18T00:00:00"/>
        <d v="2025-06-11T00:00:00"/>
        <d v="2025-05-17T00:00:00"/>
        <d v="2025-01-27T00:00:00"/>
        <d v="2025-09-15T00:00:00"/>
        <d v="2025-04-26T00:00:00"/>
        <d v="2025-05-11T00:00:00"/>
        <d v="2025-02-21T00:00:00"/>
        <d v="2025-06-12T00:00:00"/>
        <d v="2025-03-16T00:00:00"/>
        <d v="2025-05-25T00:00:00"/>
        <d v="2025-12-16T00:00:00"/>
        <d v="2025-12-23T00:00:00"/>
        <d v="2025-12-24T00:00:00"/>
        <d v="2025-06-28T00:00:00"/>
        <d v="2025-11-11T00:00:00"/>
        <d v="2025-10-13T00:00:00"/>
        <d v="2025-08-15T00:00:00"/>
        <d v="2025-04-28T00:00:00"/>
        <d v="2025-08-10T00:00:00"/>
        <d v="2025-02-11T00:00:00"/>
        <d v="2025-02-01T00:00:00"/>
        <d v="2025-11-06T00:00:00"/>
        <d v="2025-12-17T00:00:00"/>
        <d v="2025-01-25T00:00:00"/>
        <d v="2025-12-10T00:00:00"/>
        <d v="2025-12-18T00:00:00"/>
        <d v="2025-09-19T00:00:00"/>
        <d v="2025-07-10T00:00:00"/>
        <d v="2025-03-31T00:00:00"/>
        <d v="2025-07-27T00:00:00"/>
        <d v="2025-08-23T00:00:00"/>
        <d v="2025-07-28T00:00:00"/>
        <d v="2025-12-29T00:00:00"/>
        <d v="2025-06-03T00:00:00"/>
        <d v="2025-02-20T00:00:00"/>
        <d v="2025-03-19T00:00:00"/>
        <d v="2025-03-15T00:00:00"/>
        <d v="2025-04-13T00:00:00"/>
        <d v="2025-01-01T00:00:00"/>
        <d v="2025-04-19T00:00:00"/>
        <d v="2025-10-21T00:00:00"/>
        <d v="2025-04-15T00:00:00"/>
        <d v="2025-12-07T00:00:00"/>
        <d v="2025-04-10T00:00:00"/>
        <d v="2025-08-21T00:00:00"/>
        <d v="2025-09-08T00:00:00"/>
        <d v="2025-02-14T00:00:00"/>
        <d v="2025-01-26T00:00:00"/>
        <d v="2025-07-01T00:00:00"/>
        <d v="2025-11-22T00:00:00"/>
        <d v="2025-12-15T00:00:00"/>
        <d v="2025-06-04T00:00:00"/>
        <d v="2025-03-13T00:00:00"/>
        <d v="2025-06-17T00:00:00"/>
        <d v="2025-03-02T00:00:00"/>
        <d v="2025-02-07T00:00:00"/>
        <d v="2025-10-15T00:00:00"/>
        <d v="2025-04-05T00:00:00"/>
        <d v="2025-10-24T00:00:00"/>
        <d v="2025-07-15T00:00:00"/>
        <d v="2025-03-14T00:00:00"/>
        <d v="2025-04-24T00:00:00"/>
        <d v="2025-07-09T00:00:00"/>
        <d v="2025-05-28T00:00:00"/>
        <d v="2025-09-05T00:00:00"/>
        <d v="2025-08-11T00:00:00"/>
        <d v="2025-06-22T00:00:00"/>
        <d v="2025-05-24T00:00:00"/>
        <d v="2025-04-25T00:00:00"/>
        <d v="2025-03-09T00:00:00"/>
        <d v="2025-08-30T00:00:00"/>
        <d v="2025-01-17T00:00:00"/>
        <d v="2025-11-27T00:00:00"/>
        <d v="2025-06-29T00:00:00"/>
        <d v="2025-10-07T00:00:00"/>
        <d v="2025-02-05T00:00:00"/>
        <d v="2025-01-14T00:00:00"/>
        <d v="2025-09-12T00:00:00"/>
        <d v="2025-01-13T00:00:00"/>
        <d v="2025-08-13T00:00:00"/>
        <d v="2025-12-08T00:00:00"/>
        <d v="2025-09-07T00:00:00"/>
        <d v="2025-01-02T00:00:00"/>
        <d v="2025-10-03T00:00:00"/>
        <d v="2025-07-11T00:00:00"/>
        <d v="2025-12-26T00:00:00"/>
        <d v="2025-07-20T00:00:00"/>
        <d v="2025-08-18T00:00:00"/>
        <d v="2025-08-19T00:00:00"/>
        <d v="2025-07-30T00:00:00"/>
        <d v="2025-07-26T00:00:00"/>
        <d v="2025-07-29T00:00:00"/>
        <d v="2025-04-17T00:00:00"/>
        <d v="2025-04-30T00:00:00"/>
        <d v="2025-09-10T00:00:00"/>
        <d v="2025-12-02T00:00:00"/>
        <d v="2025-04-18T00:00:00"/>
        <d v="2025-07-22T00:00:00"/>
        <d v="2025-08-28T00:00:00"/>
        <d v="2025-09-28T00:00:00"/>
        <d v="2025-12-19T00:00:00"/>
        <d v="2025-11-18T00:00:00"/>
        <d v="2025-01-03T00:00:00"/>
        <d v="2025-10-25T00:00:00"/>
        <d v="2025-12-20T00:00:00"/>
        <d v="2025-08-27T00:00:00"/>
        <d v="2025-03-18T00:00:00"/>
        <d v="2025-07-08T00:00:00"/>
        <d v="2025-07-04T00:00:00"/>
        <d v="2025-01-09T00:00:00"/>
        <d v="2025-10-14T00:00:00"/>
        <d v="2025-04-06T00:00:00"/>
        <d v="2025-10-10T00:00:00"/>
        <d v="2025-04-08T00:00:00"/>
        <d v="2025-09-01T00:00:00"/>
        <d v="2025-09-27T00:00:00"/>
        <d v="2025-09-30T00:00:00"/>
        <d v="2025-12-28T00:00:00"/>
        <d v="2025-08-08T00:00:00"/>
        <d v="2025-05-02T00:00:00"/>
        <d v="2025-02-18T00:00:00"/>
        <d v="2025-01-07T00:00:00"/>
        <d v="2025-06-30T00:00:00"/>
        <d v="2025-10-27T00:00:00"/>
        <d v="2025-09-16T00:00:00"/>
        <d v="2025-05-09T00:00:00"/>
        <d v="2025-01-08T00:00:00"/>
        <d v="2025-06-16T00:00:00"/>
        <d v="2025-03-22T00:00:00"/>
        <d v="2025-03-27T00:00:00"/>
        <d v="2025-03-29T00:00:00"/>
        <d v="2025-03-26T00:00:00"/>
        <d v="2025-11-16T00:00:00"/>
        <d v="2025-08-05T00:00:00"/>
        <d v="2025-10-23T00:00:00"/>
        <d v="2025-02-04T00:00:00"/>
        <d v="2025-03-12T00:00:00"/>
        <d v="2025-07-25T00:00:00"/>
        <d v="2025-12-11T00:00:00"/>
        <d v="2025-04-09T00:00:00"/>
        <d v="2025-08-20T00:00:00"/>
        <d v="2025-09-24T00:00:00"/>
        <d v="2025-08-16T00:00:00"/>
        <d v="2025-11-09T00:00:00"/>
        <d v="2025-10-02T00:00:00"/>
        <d v="2025-07-05T00:00:00"/>
        <d v="2025-06-10T00:00:00"/>
        <d v="2025-11-02T00:00:00"/>
        <d v="2025-10-11T00:00:00"/>
        <d v="2025-12-05T00:00:00"/>
        <d v="2025-01-19T00:00:00"/>
        <d v="2025-01-04T00:00:00"/>
        <d v="2025-01-28T00:00:00"/>
        <d v="2025-06-20T00:00:00"/>
        <d v="2025-07-07T00:00:00"/>
        <d v="2025-03-05T00:00:00"/>
        <d v="2025-09-02T00:00:00"/>
        <d v="2025-08-14T00:00:00"/>
        <d v="2025-07-12T00:00:00"/>
        <d v="2025-08-25T00:00:00"/>
        <d v="2025-03-23T00:00:00"/>
        <d v="2025-08-04T00:00:00"/>
        <d v="2025-05-13T00:00:00"/>
        <d v="2025-10-04T00:00:00"/>
        <d v="2025-02-12T00:00:00"/>
        <d v="2025-01-29T00:00:00"/>
        <d v="2025-01-12T00:00:00"/>
        <d v="2025-03-11T00:00:00"/>
        <d v="2025-11-13T00:00:00"/>
        <d v="2025-09-22T00:00:00"/>
        <d v="2025-03-08T00:00:00"/>
        <d v="2025-05-10T00:00:00"/>
        <d v="2025-07-14T00:00:00"/>
        <d v="2025-12-25T00:00:00"/>
        <d v="2025-10-22T00:00:00"/>
        <d v="2025-10-06T00:00:00"/>
        <d v="2025-09-09T00:00:00"/>
        <d v="2025-09-25T00:00:00"/>
        <d v="2025-06-19T00:00:00"/>
        <d v="2025-05-21T00:00:00"/>
        <d v="2025-12-01T00:00:00"/>
        <d v="2025-11-10T00:00:00"/>
        <d v="2025-11-19T00:00:00"/>
        <d v="2025-06-25T00:00:00"/>
        <d v="2025-06-06T00:00:00"/>
        <d v="2025-02-23T00:00:00"/>
        <d v="2025-11-08T00:00:00"/>
        <d v="2025-05-29T00:00:00"/>
        <d v="2025-03-24T00:00:00"/>
        <d v="2025-07-06T00:00:00"/>
        <d v="2025-11-14T00:00:00"/>
        <d v="2025-05-23T00:00:00"/>
        <d v="2025-11-07T00:00:00"/>
        <d v="2025-05-20T00:00:00"/>
        <d v="2025-10-30T00:00:00"/>
        <d v="2025-03-21T00:00:00"/>
        <d v="2025-03-17T00:00:00"/>
        <d v="2025-09-18T00:00:00"/>
        <d v="2025-07-16T00:00:00"/>
        <d v="2025-01-24T00:00:00"/>
        <d v="2025-03-04T00:00:00"/>
        <d v="2025-11-17T00:00:00"/>
        <d v="2025-04-20T00:00:00"/>
        <d v="2025-06-05T00:00:00"/>
        <d v="2025-03-30T00:00:00"/>
        <d v="2025-11-25T00:00:00"/>
        <d v="2025-09-20T00:00:00"/>
        <d v="2025-11-26T00:00:00"/>
        <d v="2025-09-13T00:00:00"/>
      </sharedItems>
      <fieldGroup par="15"/>
    </cacheField>
    <cacheField name="Customer Name" numFmtId="0">
      <sharedItems/>
    </cacheField>
    <cacheField name="Region" numFmtId="0">
      <sharedItems count="5">
        <s v="East"/>
        <s v="West"/>
        <s v="Central"/>
        <s v="North"/>
        <s v="South"/>
      </sharedItems>
    </cacheField>
    <cacheField name="Salesperson" numFmtId="0">
      <sharedItems count="6">
        <s v="Priya"/>
        <s v="Amit"/>
        <s v="Sneha"/>
        <s v="Arun"/>
        <s v="Rahul"/>
        <s v="Kiran"/>
      </sharedItems>
    </cacheField>
    <cacheField name="Category" numFmtId="0">
      <sharedItems count="4">
        <s v="Accessories"/>
        <s v="Electronics"/>
        <s v="Office"/>
        <s v="Storage"/>
      </sharedItems>
    </cacheField>
    <cacheField name="Product" numFmtId="0">
      <sharedItems count="10">
        <s v="Webcam"/>
        <s v="Tablet"/>
        <s v="Monitor"/>
        <s v="Mouse"/>
        <s v="Printer"/>
        <s v="SSD"/>
        <s v="Headphones"/>
        <s v="Laptop"/>
        <s v="Keyboard"/>
        <s v="Speaker"/>
      </sharedItems>
    </cacheField>
    <cacheField name="Quantity" numFmtId="0">
      <sharedItems containsSemiMixedTypes="0" containsString="0" containsNumber="1" containsInteger="1" minValue="1" maxValue="20"/>
    </cacheField>
    <cacheField name="Cost Price" numFmtId="165">
      <sharedItems containsSemiMixedTypes="0" containsString="0" containsNumber="1" containsInteger="1" minValue="400" maxValue="42000"/>
    </cacheField>
    <cacheField name="Selling Price" numFmtId="0">
      <sharedItems containsSemiMixedTypes="0" containsString="0" containsNumber="1" containsInteger="1" minValue="650" maxValue="55000"/>
    </cacheField>
    <cacheField name="Revenue" numFmtId="165">
      <sharedItems containsSemiMixedTypes="0" containsString="0" containsNumber="1" containsInteger="1" minValue="650" maxValue="1100000" count="167">
        <n v="41600"/>
        <n v="39000"/>
        <n v="16500"/>
        <n v="28600"/>
        <n v="10400"/>
        <n v="60000"/>
        <n v="96000"/>
        <n v="29400"/>
        <n v="49400"/>
        <n v="9750"/>
        <n v="297000"/>
        <n v="181500"/>
        <n v="42000"/>
        <n v="165000"/>
        <n v="31200"/>
        <n v="198000"/>
        <n v="110000"/>
        <n v="10500"/>
        <n v="2600"/>
        <n v="43200"/>
        <n v="108000"/>
        <n v="22500"/>
        <n v="144000"/>
        <n v="97500"/>
        <n v="220000"/>
        <n v="36000"/>
        <n v="313500"/>
        <n v="33000"/>
        <n v="216000"/>
        <n v="14000"/>
        <n v="2800"/>
        <n v="132000"/>
        <n v="175500"/>
        <n v="25200"/>
        <n v="1500"/>
        <n v="32400"/>
        <n v="22400"/>
        <n v="247500"/>
        <n v="49500"/>
        <n v="240000"/>
        <n v="770000"/>
        <n v="21000"/>
        <n v="192000"/>
        <n v="46200"/>
        <n v="120000"/>
        <n v="7200"/>
        <n v="8400"/>
        <n v="4550"/>
        <n v="63000"/>
        <n v="11050"/>
        <n v="54000"/>
        <n v="36400"/>
        <n v="28500"/>
        <n v="26000"/>
        <n v="204000"/>
        <n v="5600"/>
        <n v="605000"/>
        <n v="264000"/>
        <n v="61200"/>
        <n v="50400"/>
        <n v="7800"/>
        <n v="24000"/>
        <n v="9000"/>
        <n v="3600"/>
        <n v="21600"/>
        <n v="12000"/>
        <n v="79800"/>
        <n v="82500"/>
        <n v="195000"/>
        <n v="9100"/>
        <n v="13000"/>
        <n v="253500"/>
        <n v="550000"/>
        <n v="495000"/>
        <n v="15000"/>
        <n v="33800"/>
        <n v="11700"/>
        <n v="58500"/>
        <n v="1300"/>
        <n v="39600"/>
        <n v="7500"/>
        <n v="7150"/>
        <n v="54600"/>
        <n v="44800"/>
        <n v="650"/>
        <n v="11200"/>
        <n v="3250"/>
        <n v="56000"/>
        <n v="64800"/>
        <n v="55000"/>
        <n v="25500"/>
        <n v="46800"/>
        <n v="19500"/>
        <n v="234000"/>
        <n v="78000"/>
        <n v="214500"/>
        <n v="18000"/>
        <n v="275000"/>
        <n v="84000"/>
        <n v="99000"/>
        <n v="33600"/>
        <n v="75600"/>
        <n v="3900"/>
        <n v="48000"/>
        <n v="312000"/>
        <n v="20800"/>
        <n v="28800"/>
        <n v="47600"/>
        <n v="935000"/>
        <n v="4500"/>
        <n v="28000"/>
        <n v="148500"/>
        <n v="27000"/>
        <n v="331500"/>
        <n v="67200"/>
        <n v="231000"/>
        <n v="168000"/>
        <n v="8450"/>
        <n v="30800"/>
        <n v="385000"/>
        <n v="18200"/>
        <n v="156000"/>
        <n v="72000"/>
        <n v="12600"/>
        <n v="39200"/>
        <n v="330000"/>
        <n v="228000"/>
        <n v="880000"/>
        <n v="68400"/>
        <n v="13500"/>
        <n v="19600"/>
        <n v="5200"/>
        <n v="44200"/>
        <n v="58800"/>
        <n v="715000"/>
        <n v="10800"/>
        <n v="1950"/>
        <n v="71400"/>
        <n v="180000"/>
        <n v="115500"/>
        <n v="660000"/>
        <n v="6500"/>
        <n v="52000"/>
        <n v="57600"/>
        <n v="37800"/>
        <n v="66000"/>
        <n v="12350"/>
        <n v="23400"/>
        <n v="14400"/>
        <n v="1100000"/>
        <n v="16800"/>
        <n v="117000"/>
        <n v="4200"/>
        <n v="53200"/>
        <n v="440000"/>
        <n v="30000"/>
        <n v="136500"/>
        <n v="990000"/>
        <n v="3000"/>
        <n v="5850"/>
        <n v="280500"/>
        <n v="390000"/>
        <n v="370500"/>
        <n v="825000"/>
        <n v="292500"/>
        <n v="1045000"/>
        <n v="15600"/>
      </sharedItems>
    </cacheField>
    <cacheField name="Cost" numFmtId="165">
      <sharedItems containsSemiMixedTypes="0" containsString="0" containsNumber="1" containsInteger="1" minValue="400" maxValue="840000"/>
    </cacheField>
    <cacheField name="Profit" numFmtId="165">
      <sharedItems containsSemiMixedTypes="0" containsString="0" containsNumber="1" containsInteger="1" minValue="250" maxValue="260000"/>
    </cacheField>
    <cacheField name="Profit %" numFmtId="10">
      <sharedItems containsSemiMixedTypes="0" containsString="0" containsNumber="1" minValue="0.23076923076923081" maxValue="0.4"/>
    </cacheField>
    <cacheField name="Months (Order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 name="Years (Order Date)" numFmtId="0" databaseField="0">
      <fieldGroup base="1">
        <rangePr groupBy="years" startDate="2025-01-01T00:00:00" endDate="2026-01-01T00:00:00"/>
        <groupItems count="4">
          <s v="&lt;01-01-2025"/>
          <s v="2025"/>
          <s v="2026"/>
          <s v="&gt;01-01-2026"/>
        </groupItems>
      </fieldGroup>
    </cacheField>
  </cacheFields>
  <extLst>
    <ext xmlns:x14="http://schemas.microsoft.com/office/spreadsheetml/2009/9/main" uri="{725AE2AE-9491-48be-B2B4-4EB974FC3084}">
      <x14:pivotCacheDefinition pivotCacheId="330908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
    <x v="0"/>
    <s v="Customer 10"/>
    <x v="0"/>
    <x v="0"/>
    <x v="0"/>
    <x v="0"/>
    <n v="16"/>
    <n v="1800"/>
    <n v="2600"/>
    <x v="0"/>
    <n v="28800"/>
    <n v="12800"/>
    <n v="0.30769230769230771"/>
  </r>
  <r>
    <s v="ORD1001"/>
    <x v="1"/>
    <s v="Customer 18"/>
    <x v="1"/>
    <x v="1"/>
    <x v="1"/>
    <x v="1"/>
    <n v="2"/>
    <n v="15000"/>
    <n v="19500"/>
    <x v="1"/>
    <n v="30000"/>
    <n v="9000"/>
    <n v="0.23076923076923081"/>
  </r>
  <r>
    <s v="ORD1002"/>
    <x v="2"/>
    <s v="Customer 127"/>
    <x v="0"/>
    <x v="2"/>
    <x v="1"/>
    <x v="2"/>
    <n v="1"/>
    <n v="12000"/>
    <n v="16500"/>
    <x v="2"/>
    <n v="12000"/>
    <n v="4500"/>
    <n v="0.27272727272727271"/>
  </r>
  <r>
    <s v="ORD1003"/>
    <x v="3"/>
    <s v="Customer 149"/>
    <x v="1"/>
    <x v="3"/>
    <x v="0"/>
    <x v="0"/>
    <n v="11"/>
    <n v="1800"/>
    <n v="2600"/>
    <x v="3"/>
    <n v="19800"/>
    <n v="8800"/>
    <n v="0.30769230769230771"/>
  </r>
  <r>
    <s v="ORD1004"/>
    <x v="4"/>
    <s v="Customer 99"/>
    <x v="2"/>
    <x v="4"/>
    <x v="0"/>
    <x v="3"/>
    <n v="16"/>
    <n v="400"/>
    <n v="650"/>
    <x v="4"/>
    <n v="6400"/>
    <n v="4000"/>
    <n v="0.38461538461538458"/>
  </r>
  <r>
    <s v="ORD1005"/>
    <x v="5"/>
    <s v="Customer 128"/>
    <x v="3"/>
    <x v="0"/>
    <x v="2"/>
    <x v="4"/>
    <n v="5"/>
    <n v="8500"/>
    <n v="12000"/>
    <x v="5"/>
    <n v="42500"/>
    <n v="17500"/>
    <n v="0.29166666666666669"/>
  </r>
  <r>
    <s v="ORD1006"/>
    <x v="6"/>
    <s v="Customer 104"/>
    <x v="1"/>
    <x v="0"/>
    <x v="2"/>
    <x v="4"/>
    <n v="8"/>
    <n v="8500"/>
    <n v="12000"/>
    <x v="6"/>
    <n v="68000"/>
    <n v="28000"/>
    <n v="0.29166666666666669"/>
  </r>
  <r>
    <s v="ORD1007"/>
    <x v="7"/>
    <s v="Customer 128"/>
    <x v="4"/>
    <x v="4"/>
    <x v="3"/>
    <x v="5"/>
    <n v="7"/>
    <n v="2800"/>
    <n v="4200"/>
    <x v="7"/>
    <n v="19600"/>
    <n v="9800"/>
    <n v="0.33333333333333331"/>
  </r>
  <r>
    <s v="ORD1008"/>
    <x v="8"/>
    <s v="Customer 141"/>
    <x v="2"/>
    <x v="2"/>
    <x v="0"/>
    <x v="0"/>
    <n v="19"/>
    <n v="1800"/>
    <n v="2600"/>
    <x v="8"/>
    <n v="34200"/>
    <n v="15200"/>
    <n v="0.30769230769230771"/>
  </r>
  <r>
    <s v="ORD1009"/>
    <x v="9"/>
    <s v="Customer 101"/>
    <x v="3"/>
    <x v="4"/>
    <x v="0"/>
    <x v="3"/>
    <n v="15"/>
    <n v="400"/>
    <n v="650"/>
    <x v="9"/>
    <n v="6000"/>
    <n v="3750"/>
    <n v="0.38461538461538458"/>
  </r>
  <r>
    <s v="ORD1010"/>
    <x v="10"/>
    <s v="Customer 32"/>
    <x v="4"/>
    <x v="5"/>
    <x v="1"/>
    <x v="2"/>
    <n v="18"/>
    <n v="12000"/>
    <n v="16500"/>
    <x v="10"/>
    <n v="216000"/>
    <n v="81000"/>
    <n v="0.27272727272727271"/>
  </r>
  <r>
    <s v="ORD1011"/>
    <x v="11"/>
    <s v="Customer 118"/>
    <x v="3"/>
    <x v="1"/>
    <x v="1"/>
    <x v="2"/>
    <n v="11"/>
    <n v="12000"/>
    <n v="16500"/>
    <x v="11"/>
    <n v="132000"/>
    <n v="49500"/>
    <n v="0.27272727272727271"/>
  </r>
  <r>
    <s v="ORD1012"/>
    <x v="12"/>
    <s v="Customer 68"/>
    <x v="3"/>
    <x v="3"/>
    <x v="0"/>
    <x v="6"/>
    <n v="15"/>
    <n v="1800"/>
    <n v="2800"/>
    <x v="12"/>
    <n v="27000"/>
    <n v="15000"/>
    <n v="0.35714285714285721"/>
  </r>
  <r>
    <s v="ORD1013"/>
    <x v="13"/>
    <s v="Customer 37"/>
    <x v="1"/>
    <x v="4"/>
    <x v="1"/>
    <x v="7"/>
    <n v="3"/>
    <n v="42000"/>
    <n v="55000"/>
    <x v="13"/>
    <n v="126000"/>
    <n v="39000"/>
    <n v="0.23636363636363639"/>
  </r>
  <r>
    <s v="ORD1014"/>
    <x v="14"/>
    <s v="Customer 16"/>
    <x v="4"/>
    <x v="3"/>
    <x v="0"/>
    <x v="0"/>
    <n v="12"/>
    <n v="1800"/>
    <n v="2600"/>
    <x v="14"/>
    <n v="21600"/>
    <n v="9600"/>
    <n v="0.30769230769230771"/>
  </r>
  <r>
    <s v="ORD1015"/>
    <x v="15"/>
    <s v="Customer 3"/>
    <x v="2"/>
    <x v="5"/>
    <x v="1"/>
    <x v="2"/>
    <n v="12"/>
    <n v="12000"/>
    <n v="16500"/>
    <x v="15"/>
    <n v="144000"/>
    <n v="54000"/>
    <n v="0.27272727272727271"/>
  </r>
  <r>
    <s v="ORD1016"/>
    <x v="16"/>
    <s v="Customer 144"/>
    <x v="2"/>
    <x v="0"/>
    <x v="1"/>
    <x v="7"/>
    <n v="2"/>
    <n v="42000"/>
    <n v="55000"/>
    <x v="16"/>
    <n v="84000"/>
    <n v="26000"/>
    <n v="0.23636363636363639"/>
  </r>
  <r>
    <s v="ORD1017"/>
    <x v="17"/>
    <s v="Customer 42"/>
    <x v="2"/>
    <x v="1"/>
    <x v="0"/>
    <x v="8"/>
    <n v="7"/>
    <n v="900"/>
    <n v="1500"/>
    <x v="17"/>
    <n v="6300"/>
    <n v="4200"/>
    <n v="0.4"/>
  </r>
  <r>
    <s v="ORD1018"/>
    <x v="18"/>
    <s v="Customer 37"/>
    <x v="4"/>
    <x v="4"/>
    <x v="0"/>
    <x v="3"/>
    <n v="4"/>
    <n v="400"/>
    <n v="650"/>
    <x v="18"/>
    <n v="1600"/>
    <n v="1000"/>
    <n v="0.38461538461538458"/>
  </r>
  <r>
    <s v="ORD1019"/>
    <x v="19"/>
    <s v="Customer 94"/>
    <x v="3"/>
    <x v="0"/>
    <x v="0"/>
    <x v="9"/>
    <n v="12"/>
    <n v="2500"/>
    <n v="3600"/>
    <x v="19"/>
    <n v="30000"/>
    <n v="13200"/>
    <n v="0.30555555555555558"/>
  </r>
  <r>
    <s v="ORD1020"/>
    <x v="20"/>
    <s v="Customer 83"/>
    <x v="2"/>
    <x v="4"/>
    <x v="2"/>
    <x v="4"/>
    <n v="9"/>
    <n v="8500"/>
    <n v="12000"/>
    <x v="20"/>
    <n v="76500"/>
    <n v="31500"/>
    <n v="0.29166666666666669"/>
  </r>
  <r>
    <s v="ORD1021"/>
    <x v="21"/>
    <s v="Customer 116"/>
    <x v="1"/>
    <x v="2"/>
    <x v="0"/>
    <x v="8"/>
    <n v="15"/>
    <n v="900"/>
    <n v="1500"/>
    <x v="21"/>
    <n v="13500"/>
    <n v="9000"/>
    <n v="0.4"/>
  </r>
  <r>
    <s v="ORD1022"/>
    <x v="22"/>
    <s v="Customer 128"/>
    <x v="2"/>
    <x v="1"/>
    <x v="2"/>
    <x v="4"/>
    <n v="12"/>
    <n v="8500"/>
    <n v="12000"/>
    <x v="22"/>
    <n v="102000"/>
    <n v="42000"/>
    <n v="0.29166666666666669"/>
  </r>
  <r>
    <s v="ORD1023"/>
    <x v="23"/>
    <s v="Customer 4"/>
    <x v="2"/>
    <x v="0"/>
    <x v="1"/>
    <x v="1"/>
    <n v="5"/>
    <n v="15000"/>
    <n v="19500"/>
    <x v="23"/>
    <n v="75000"/>
    <n v="22500"/>
    <n v="0.23076923076923081"/>
  </r>
  <r>
    <s v="ORD1024"/>
    <x v="24"/>
    <s v="Customer 67"/>
    <x v="0"/>
    <x v="4"/>
    <x v="1"/>
    <x v="7"/>
    <n v="4"/>
    <n v="42000"/>
    <n v="55000"/>
    <x v="24"/>
    <n v="168000"/>
    <n v="52000"/>
    <n v="0.23636363636363639"/>
  </r>
  <r>
    <s v="ORD1025"/>
    <x v="18"/>
    <s v="Customer 147"/>
    <x v="2"/>
    <x v="0"/>
    <x v="2"/>
    <x v="4"/>
    <n v="3"/>
    <n v="8500"/>
    <n v="12000"/>
    <x v="25"/>
    <n v="25500"/>
    <n v="10500"/>
    <n v="0.29166666666666669"/>
  </r>
  <r>
    <s v="ORD1026"/>
    <x v="25"/>
    <s v="Customer 24"/>
    <x v="1"/>
    <x v="4"/>
    <x v="1"/>
    <x v="2"/>
    <n v="19"/>
    <n v="12000"/>
    <n v="16500"/>
    <x v="26"/>
    <n v="228000"/>
    <n v="85500"/>
    <n v="0.27272727272727271"/>
  </r>
  <r>
    <s v="ORD1027"/>
    <x v="26"/>
    <s v="Customer 137"/>
    <x v="3"/>
    <x v="3"/>
    <x v="1"/>
    <x v="2"/>
    <n v="2"/>
    <n v="12000"/>
    <n v="16500"/>
    <x v="27"/>
    <n v="24000"/>
    <n v="9000"/>
    <n v="0.27272727272727271"/>
  </r>
  <r>
    <s v="ORD1028"/>
    <x v="27"/>
    <s v="Customer 74"/>
    <x v="4"/>
    <x v="1"/>
    <x v="2"/>
    <x v="4"/>
    <n v="18"/>
    <n v="8500"/>
    <n v="12000"/>
    <x v="28"/>
    <n v="153000"/>
    <n v="63000"/>
    <n v="0.29166666666666669"/>
  </r>
  <r>
    <s v="ORD1029"/>
    <x v="28"/>
    <s v="Customer 61"/>
    <x v="4"/>
    <x v="0"/>
    <x v="0"/>
    <x v="6"/>
    <n v="5"/>
    <n v="1800"/>
    <n v="2800"/>
    <x v="29"/>
    <n v="9000"/>
    <n v="5000"/>
    <n v="0.35714285714285721"/>
  </r>
  <r>
    <s v="ORD1030"/>
    <x v="29"/>
    <s v="Customer 25"/>
    <x v="2"/>
    <x v="2"/>
    <x v="0"/>
    <x v="6"/>
    <n v="1"/>
    <n v="1800"/>
    <n v="2800"/>
    <x v="30"/>
    <n v="1800"/>
    <n v="1000"/>
    <n v="0.35714285714285721"/>
  </r>
  <r>
    <s v="ORD1031"/>
    <x v="30"/>
    <s v="Customer 22"/>
    <x v="1"/>
    <x v="4"/>
    <x v="1"/>
    <x v="2"/>
    <n v="8"/>
    <n v="12000"/>
    <n v="16500"/>
    <x v="31"/>
    <n v="96000"/>
    <n v="36000"/>
    <n v="0.27272727272727271"/>
  </r>
  <r>
    <s v="ORD1032"/>
    <x v="0"/>
    <s v="Customer 4"/>
    <x v="2"/>
    <x v="0"/>
    <x v="1"/>
    <x v="1"/>
    <n v="9"/>
    <n v="15000"/>
    <n v="19500"/>
    <x v="32"/>
    <n v="135000"/>
    <n v="40500"/>
    <n v="0.23076923076923081"/>
  </r>
  <r>
    <s v="ORD1033"/>
    <x v="31"/>
    <s v="Customer 105"/>
    <x v="3"/>
    <x v="5"/>
    <x v="0"/>
    <x v="6"/>
    <n v="9"/>
    <n v="1800"/>
    <n v="2800"/>
    <x v="33"/>
    <n v="16200"/>
    <n v="9000"/>
    <n v="0.35714285714285721"/>
  </r>
  <r>
    <s v="ORD1034"/>
    <x v="32"/>
    <s v="Customer 26"/>
    <x v="0"/>
    <x v="3"/>
    <x v="1"/>
    <x v="2"/>
    <n v="8"/>
    <n v="12000"/>
    <n v="16500"/>
    <x v="31"/>
    <n v="96000"/>
    <n v="36000"/>
    <n v="0.27272727272727271"/>
  </r>
  <r>
    <s v="ORD1035"/>
    <x v="33"/>
    <s v="Customer 14"/>
    <x v="4"/>
    <x v="1"/>
    <x v="0"/>
    <x v="8"/>
    <n v="1"/>
    <n v="900"/>
    <n v="1500"/>
    <x v="34"/>
    <n v="900"/>
    <n v="600"/>
    <n v="0.4"/>
  </r>
  <r>
    <s v="ORD1036"/>
    <x v="34"/>
    <s v="Customer 124"/>
    <x v="2"/>
    <x v="1"/>
    <x v="1"/>
    <x v="2"/>
    <n v="18"/>
    <n v="12000"/>
    <n v="16500"/>
    <x v="10"/>
    <n v="216000"/>
    <n v="81000"/>
    <n v="0.27272727272727271"/>
  </r>
  <r>
    <s v="ORD1037"/>
    <x v="35"/>
    <s v="Customer 35"/>
    <x v="2"/>
    <x v="4"/>
    <x v="0"/>
    <x v="9"/>
    <n v="9"/>
    <n v="2500"/>
    <n v="3600"/>
    <x v="35"/>
    <n v="22500"/>
    <n v="9900"/>
    <n v="0.30555555555555558"/>
  </r>
  <r>
    <s v="ORD1038"/>
    <x v="12"/>
    <s v="Customer 38"/>
    <x v="0"/>
    <x v="1"/>
    <x v="0"/>
    <x v="6"/>
    <n v="8"/>
    <n v="1800"/>
    <n v="2800"/>
    <x v="36"/>
    <n v="14400"/>
    <n v="8000"/>
    <n v="0.35714285714285721"/>
  </r>
  <r>
    <s v="ORD1039"/>
    <x v="36"/>
    <s v="Customer 120"/>
    <x v="2"/>
    <x v="4"/>
    <x v="1"/>
    <x v="2"/>
    <n v="15"/>
    <n v="12000"/>
    <n v="16500"/>
    <x v="37"/>
    <n v="180000"/>
    <n v="67500"/>
    <n v="0.27272727272727271"/>
  </r>
  <r>
    <s v="ORD1040"/>
    <x v="37"/>
    <s v="Customer 53"/>
    <x v="4"/>
    <x v="5"/>
    <x v="1"/>
    <x v="2"/>
    <n v="3"/>
    <n v="12000"/>
    <n v="16500"/>
    <x v="38"/>
    <n v="36000"/>
    <n v="13500"/>
    <n v="0.27272727272727271"/>
  </r>
  <r>
    <s v="ORD1041"/>
    <x v="38"/>
    <s v="Customer 3"/>
    <x v="3"/>
    <x v="2"/>
    <x v="2"/>
    <x v="4"/>
    <n v="20"/>
    <n v="8500"/>
    <n v="12000"/>
    <x v="39"/>
    <n v="170000"/>
    <n v="70000"/>
    <n v="0.29166666666666669"/>
  </r>
  <r>
    <s v="ORD1042"/>
    <x v="39"/>
    <s v="Customer 55"/>
    <x v="1"/>
    <x v="5"/>
    <x v="1"/>
    <x v="7"/>
    <n v="14"/>
    <n v="42000"/>
    <n v="55000"/>
    <x v="40"/>
    <n v="588000"/>
    <n v="182000"/>
    <n v="0.23636363636363639"/>
  </r>
  <r>
    <s v="ORD1043"/>
    <x v="40"/>
    <s v="Customer 129"/>
    <x v="1"/>
    <x v="0"/>
    <x v="3"/>
    <x v="5"/>
    <n v="5"/>
    <n v="2800"/>
    <n v="4200"/>
    <x v="41"/>
    <n v="14000"/>
    <n v="7000"/>
    <n v="0.33333333333333331"/>
  </r>
  <r>
    <s v="ORD1044"/>
    <x v="41"/>
    <s v="Customer 123"/>
    <x v="2"/>
    <x v="1"/>
    <x v="2"/>
    <x v="4"/>
    <n v="16"/>
    <n v="8500"/>
    <n v="12000"/>
    <x v="42"/>
    <n v="136000"/>
    <n v="56000"/>
    <n v="0.29166666666666669"/>
  </r>
  <r>
    <s v="ORD1045"/>
    <x v="42"/>
    <s v="Customer 19"/>
    <x v="1"/>
    <x v="4"/>
    <x v="3"/>
    <x v="5"/>
    <n v="11"/>
    <n v="2800"/>
    <n v="4200"/>
    <x v="43"/>
    <n v="30800"/>
    <n v="15400"/>
    <n v="0.33333333333333331"/>
  </r>
  <r>
    <s v="ORD1046"/>
    <x v="43"/>
    <s v="Customer 147"/>
    <x v="1"/>
    <x v="1"/>
    <x v="3"/>
    <x v="5"/>
    <n v="5"/>
    <n v="2800"/>
    <n v="4200"/>
    <x v="41"/>
    <n v="14000"/>
    <n v="7000"/>
    <n v="0.33333333333333331"/>
  </r>
  <r>
    <s v="ORD1047"/>
    <x v="44"/>
    <s v="Customer 103"/>
    <x v="4"/>
    <x v="2"/>
    <x v="0"/>
    <x v="6"/>
    <n v="15"/>
    <n v="1800"/>
    <n v="2800"/>
    <x v="12"/>
    <n v="27000"/>
    <n v="15000"/>
    <n v="0.35714285714285721"/>
  </r>
  <r>
    <s v="ORD1048"/>
    <x v="45"/>
    <s v="Customer 4"/>
    <x v="4"/>
    <x v="1"/>
    <x v="2"/>
    <x v="4"/>
    <n v="10"/>
    <n v="8500"/>
    <n v="12000"/>
    <x v="44"/>
    <n v="85000"/>
    <n v="35000"/>
    <n v="0.29166666666666669"/>
  </r>
  <r>
    <s v="ORD1049"/>
    <x v="46"/>
    <s v="Customer 132"/>
    <x v="1"/>
    <x v="3"/>
    <x v="0"/>
    <x v="9"/>
    <n v="2"/>
    <n v="2500"/>
    <n v="3600"/>
    <x v="45"/>
    <n v="5000"/>
    <n v="2200"/>
    <n v="0.30555555555555558"/>
  </r>
  <r>
    <s v="ORD1050"/>
    <x v="47"/>
    <s v="Customer 143"/>
    <x v="4"/>
    <x v="1"/>
    <x v="0"/>
    <x v="6"/>
    <n v="3"/>
    <n v="1800"/>
    <n v="2800"/>
    <x v="46"/>
    <n v="5400"/>
    <n v="3000"/>
    <n v="0.35714285714285721"/>
  </r>
  <r>
    <s v="ORD1051"/>
    <x v="48"/>
    <s v="Customer 16"/>
    <x v="0"/>
    <x v="5"/>
    <x v="0"/>
    <x v="3"/>
    <n v="7"/>
    <n v="400"/>
    <n v="650"/>
    <x v="47"/>
    <n v="2800"/>
    <n v="1750"/>
    <n v="0.38461538461538458"/>
  </r>
  <r>
    <s v="ORD1052"/>
    <x v="49"/>
    <s v="Customer 108"/>
    <x v="0"/>
    <x v="0"/>
    <x v="3"/>
    <x v="5"/>
    <n v="15"/>
    <n v="2800"/>
    <n v="4200"/>
    <x v="48"/>
    <n v="42000"/>
    <n v="21000"/>
    <n v="0.33333333333333331"/>
  </r>
  <r>
    <s v="ORD1053"/>
    <x v="50"/>
    <s v="Customer 88"/>
    <x v="3"/>
    <x v="5"/>
    <x v="0"/>
    <x v="3"/>
    <n v="17"/>
    <n v="400"/>
    <n v="650"/>
    <x v="49"/>
    <n v="6800"/>
    <n v="4250"/>
    <n v="0.38461538461538458"/>
  </r>
  <r>
    <s v="ORD1054"/>
    <x v="51"/>
    <s v="Customer 43"/>
    <x v="0"/>
    <x v="5"/>
    <x v="2"/>
    <x v="4"/>
    <n v="18"/>
    <n v="8500"/>
    <n v="12000"/>
    <x v="28"/>
    <n v="153000"/>
    <n v="63000"/>
    <n v="0.29166666666666669"/>
  </r>
  <r>
    <s v="ORD1055"/>
    <x v="52"/>
    <s v="Customer 77"/>
    <x v="4"/>
    <x v="1"/>
    <x v="0"/>
    <x v="9"/>
    <n v="12"/>
    <n v="2500"/>
    <n v="3600"/>
    <x v="19"/>
    <n v="30000"/>
    <n v="13200"/>
    <n v="0.30555555555555558"/>
  </r>
  <r>
    <s v="ORD1056"/>
    <x v="53"/>
    <s v="Customer 102"/>
    <x v="4"/>
    <x v="5"/>
    <x v="0"/>
    <x v="0"/>
    <n v="12"/>
    <n v="1800"/>
    <n v="2600"/>
    <x v="14"/>
    <n v="21600"/>
    <n v="9600"/>
    <n v="0.30769230769230771"/>
  </r>
  <r>
    <s v="ORD1057"/>
    <x v="54"/>
    <s v="Customer 75"/>
    <x v="4"/>
    <x v="2"/>
    <x v="0"/>
    <x v="9"/>
    <n v="15"/>
    <n v="2500"/>
    <n v="3600"/>
    <x v="50"/>
    <n v="37500"/>
    <n v="16500"/>
    <n v="0.30555555555555558"/>
  </r>
  <r>
    <s v="ORD1058"/>
    <x v="55"/>
    <s v="Customer 4"/>
    <x v="0"/>
    <x v="2"/>
    <x v="0"/>
    <x v="9"/>
    <n v="15"/>
    <n v="2500"/>
    <n v="3600"/>
    <x v="50"/>
    <n v="37500"/>
    <n v="16500"/>
    <n v="0.30555555555555558"/>
  </r>
  <r>
    <s v="ORD1059"/>
    <x v="34"/>
    <s v="Customer 6"/>
    <x v="2"/>
    <x v="0"/>
    <x v="0"/>
    <x v="0"/>
    <n v="14"/>
    <n v="1800"/>
    <n v="2600"/>
    <x v="51"/>
    <n v="25200"/>
    <n v="11200"/>
    <n v="0.30769230769230771"/>
  </r>
  <r>
    <s v="ORD1060"/>
    <x v="56"/>
    <s v="Customer 113"/>
    <x v="1"/>
    <x v="4"/>
    <x v="0"/>
    <x v="8"/>
    <n v="19"/>
    <n v="900"/>
    <n v="1500"/>
    <x v="52"/>
    <n v="17100"/>
    <n v="11400"/>
    <n v="0.4"/>
  </r>
  <r>
    <s v="ORD1061"/>
    <x v="57"/>
    <s v="Customer 38"/>
    <x v="3"/>
    <x v="3"/>
    <x v="2"/>
    <x v="4"/>
    <n v="3"/>
    <n v="8500"/>
    <n v="12000"/>
    <x v="25"/>
    <n v="25500"/>
    <n v="10500"/>
    <n v="0.29166666666666669"/>
  </r>
  <r>
    <s v="ORD1062"/>
    <x v="58"/>
    <s v="Customer 134"/>
    <x v="1"/>
    <x v="4"/>
    <x v="3"/>
    <x v="5"/>
    <n v="15"/>
    <n v="2800"/>
    <n v="4200"/>
    <x v="48"/>
    <n v="42000"/>
    <n v="21000"/>
    <n v="0.33333333333333331"/>
  </r>
  <r>
    <s v="ORD1063"/>
    <x v="59"/>
    <s v="Customer 70"/>
    <x v="4"/>
    <x v="3"/>
    <x v="0"/>
    <x v="0"/>
    <n v="10"/>
    <n v="1800"/>
    <n v="2600"/>
    <x v="53"/>
    <n v="18000"/>
    <n v="8000"/>
    <n v="0.30769230769230771"/>
  </r>
  <r>
    <s v="ORD1064"/>
    <x v="60"/>
    <s v="Customer 144"/>
    <x v="1"/>
    <x v="3"/>
    <x v="2"/>
    <x v="4"/>
    <n v="17"/>
    <n v="8500"/>
    <n v="12000"/>
    <x v="54"/>
    <n v="144500"/>
    <n v="59500"/>
    <n v="0.29166666666666669"/>
  </r>
  <r>
    <s v="ORD1065"/>
    <x v="61"/>
    <s v="Customer 56"/>
    <x v="1"/>
    <x v="0"/>
    <x v="0"/>
    <x v="6"/>
    <n v="2"/>
    <n v="1800"/>
    <n v="2800"/>
    <x v="55"/>
    <n v="3600"/>
    <n v="2000"/>
    <n v="0.35714285714285721"/>
  </r>
  <r>
    <s v="ORD1066"/>
    <x v="62"/>
    <s v="Customer 84"/>
    <x v="4"/>
    <x v="4"/>
    <x v="1"/>
    <x v="7"/>
    <n v="11"/>
    <n v="42000"/>
    <n v="55000"/>
    <x v="56"/>
    <n v="462000"/>
    <n v="143000"/>
    <n v="0.23636363636363639"/>
  </r>
  <r>
    <s v="ORD1067"/>
    <x v="63"/>
    <s v="Customer 104"/>
    <x v="4"/>
    <x v="3"/>
    <x v="1"/>
    <x v="2"/>
    <n v="16"/>
    <n v="12000"/>
    <n v="16500"/>
    <x v="57"/>
    <n v="192000"/>
    <n v="72000"/>
    <n v="0.27272727272727271"/>
  </r>
  <r>
    <s v="ORD1068"/>
    <x v="15"/>
    <s v="Customer 113"/>
    <x v="1"/>
    <x v="3"/>
    <x v="0"/>
    <x v="0"/>
    <n v="15"/>
    <n v="1800"/>
    <n v="2600"/>
    <x v="1"/>
    <n v="27000"/>
    <n v="12000"/>
    <n v="0.30769230769230771"/>
  </r>
  <r>
    <s v="ORD1069"/>
    <x v="64"/>
    <s v="Customer 64"/>
    <x v="0"/>
    <x v="3"/>
    <x v="0"/>
    <x v="9"/>
    <n v="17"/>
    <n v="2500"/>
    <n v="3600"/>
    <x v="58"/>
    <n v="42500"/>
    <n v="18700"/>
    <n v="0.30555555555555558"/>
  </r>
  <r>
    <s v="ORD1070"/>
    <x v="65"/>
    <s v="Customer 124"/>
    <x v="2"/>
    <x v="1"/>
    <x v="0"/>
    <x v="6"/>
    <n v="18"/>
    <n v="1800"/>
    <n v="2800"/>
    <x v="59"/>
    <n v="32400"/>
    <n v="18000"/>
    <n v="0.35714285714285721"/>
  </r>
  <r>
    <s v="ORD1071"/>
    <x v="66"/>
    <s v="Customer 121"/>
    <x v="1"/>
    <x v="3"/>
    <x v="0"/>
    <x v="3"/>
    <n v="12"/>
    <n v="400"/>
    <n v="650"/>
    <x v="60"/>
    <n v="4800"/>
    <n v="3000"/>
    <n v="0.38461538461538458"/>
  </r>
  <r>
    <s v="ORD1072"/>
    <x v="67"/>
    <s v="Customer 64"/>
    <x v="1"/>
    <x v="3"/>
    <x v="1"/>
    <x v="7"/>
    <n v="11"/>
    <n v="42000"/>
    <n v="55000"/>
    <x v="56"/>
    <n v="462000"/>
    <n v="143000"/>
    <n v="0.23636363636363639"/>
  </r>
  <r>
    <s v="ORD1073"/>
    <x v="21"/>
    <s v="Customer 149"/>
    <x v="1"/>
    <x v="2"/>
    <x v="1"/>
    <x v="2"/>
    <n v="18"/>
    <n v="12000"/>
    <n v="16500"/>
    <x v="10"/>
    <n v="216000"/>
    <n v="81000"/>
    <n v="0.27272727272727271"/>
  </r>
  <r>
    <s v="ORD1074"/>
    <x v="5"/>
    <s v="Customer 66"/>
    <x v="3"/>
    <x v="2"/>
    <x v="0"/>
    <x v="8"/>
    <n v="16"/>
    <n v="900"/>
    <n v="1500"/>
    <x v="61"/>
    <n v="14400"/>
    <n v="9600"/>
    <n v="0.4"/>
  </r>
  <r>
    <s v="ORD1075"/>
    <x v="68"/>
    <s v="Customer 124"/>
    <x v="4"/>
    <x v="0"/>
    <x v="0"/>
    <x v="6"/>
    <n v="9"/>
    <n v="1800"/>
    <n v="2800"/>
    <x v="33"/>
    <n v="16200"/>
    <n v="9000"/>
    <n v="0.35714285714285721"/>
  </r>
  <r>
    <s v="ORD1076"/>
    <x v="69"/>
    <s v="Customer 39"/>
    <x v="1"/>
    <x v="3"/>
    <x v="0"/>
    <x v="8"/>
    <n v="6"/>
    <n v="900"/>
    <n v="1500"/>
    <x v="62"/>
    <n v="5400"/>
    <n v="3600"/>
    <n v="0.4"/>
  </r>
  <r>
    <s v="ORD1077"/>
    <x v="70"/>
    <s v="Customer 88"/>
    <x v="2"/>
    <x v="3"/>
    <x v="0"/>
    <x v="9"/>
    <n v="1"/>
    <n v="2500"/>
    <n v="3600"/>
    <x v="63"/>
    <n v="2500"/>
    <n v="1100"/>
    <n v="0.30555555555555558"/>
  </r>
  <r>
    <s v="ORD1078"/>
    <x v="71"/>
    <s v="Customer 142"/>
    <x v="2"/>
    <x v="3"/>
    <x v="0"/>
    <x v="9"/>
    <n v="6"/>
    <n v="2500"/>
    <n v="3600"/>
    <x v="64"/>
    <n v="15000"/>
    <n v="6600"/>
    <n v="0.30555555555555558"/>
  </r>
  <r>
    <s v="ORD1079"/>
    <x v="72"/>
    <s v="Customer 36"/>
    <x v="4"/>
    <x v="1"/>
    <x v="0"/>
    <x v="8"/>
    <n v="8"/>
    <n v="900"/>
    <n v="1500"/>
    <x v="65"/>
    <n v="7200"/>
    <n v="4800"/>
    <n v="0.4"/>
  </r>
  <r>
    <s v="ORD1080"/>
    <x v="73"/>
    <s v="Customer 69"/>
    <x v="3"/>
    <x v="1"/>
    <x v="0"/>
    <x v="8"/>
    <n v="6"/>
    <n v="900"/>
    <n v="1500"/>
    <x v="62"/>
    <n v="5400"/>
    <n v="3600"/>
    <n v="0.4"/>
  </r>
  <r>
    <s v="ORD1081"/>
    <x v="74"/>
    <s v="Customer 129"/>
    <x v="0"/>
    <x v="0"/>
    <x v="1"/>
    <x v="2"/>
    <n v="1"/>
    <n v="12000"/>
    <n v="16500"/>
    <x v="2"/>
    <n v="12000"/>
    <n v="4500"/>
    <n v="0.27272727272727271"/>
  </r>
  <r>
    <s v="ORD1082"/>
    <x v="45"/>
    <s v="Customer 69"/>
    <x v="2"/>
    <x v="0"/>
    <x v="3"/>
    <x v="5"/>
    <n v="19"/>
    <n v="2800"/>
    <n v="4200"/>
    <x v="66"/>
    <n v="53200"/>
    <n v="26600"/>
    <n v="0.33333333333333331"/>
  </r>
  <r>
    <s v="ORD1083"/>
    <x v="9"/>
    <s v="Customer 17"/>
    <x v="0"/>
    <x v="3"/>
    <x v="1"/>
    <x v="2"/>
    <n v="5"/>
    <n v="12000"/>
    <n v="16500"/>
    <x v="67"/>
    <n v="60000"/>
    <n v="22500"/>
    <n v="0.27272727272727271"/>
  </r>
  <r>
    <s v="ORD1084"/>
    <x v="75"/>
    <s v="Customer 92"/>
    <x v="0"/>
    <x v="2"/>
    <x v="0"/>
    <x v="3"/>
    <n v="4"/>
    <n v="400"/>
    <n v="650"/>
    <x v="18"/>
    <n v="1600"/>
    <n v="1000"/>
    <n v="0.38461538461538458"/>
  </r>
  <r>
    <s v="ORD1085"/>
    <x v="76"/>
    <s v="Customer 19"/>
    <x v="2"/>
    <x v="4"/>
    <x v="1"/>
    <x v="1"/>
    <n v="5"/>
    <n v="15000"/>
    <n v="19500"/>
    <x v="23"/>
    <n v="75000"/>
    <n v="22500"/>
    <n v="0.23076923076923081"/>
  </r>
  <r>
    <s v="ORD1086"/>
    <x v="72"/>
    <s v="Customer 21"/>
    <x v="4"/>
    <x v="3"/>
    <x v="1"/>
    <x v="1"/>
    <n v="10"/>
    <n v="15000"/>
    <n v="19500"/>
    <x v="68"/>
    <n v="150000"/>
    <n v="45000"/>
    <n v="0.23076923076923081"/>
  </r>
  <r>
    <s v="ORD1087"/>
    <x v="77"/>
    <s v="Customer 3"/>
    <x v="1"/>
    <x v="0"/>
    <x v="0"/>
    <x v="3"/>
    <n v="4"/>
    <n v="400"/>
    <n v="650"/>
    <x v="18"/>
    <n v="1600"/>
    <n v="1000"/>
    <n v="0.38461538461538458"/>
  </r>
  <r>
    <s v="ORD1088"/>
    <x v="19"/>
    <s v="Customer 10"/>
    <x v="0"/>
    <x v="4"/>
    <x v="0"/>
    <x v="3"/>
    <n v="14"/>
    <n v="400"/>
    <n v="650"/>
    <x v="69"/>
    <n v="5600"/>
    <n v="3500"/>
    <n v="0.38461538461538458"/>
  </r>
  <r>
    <s v="ORD1089"/>
    <x v="78"/>
    <s v="Customer 100"/>
    <x v="1"/>
    <x v="2"/>
    <x v="0"/>
    <x v="0"/>
    <n v="5"/>
    <n v="1800"/>
    <n v="2600"/>
    <x v="70"/>
    <n v="9000"/>
    <n v="4000"/>
    <n v="0.30769230769230771"/>
  </r>
  <r>
    <s v="ORD1090"/>
    <x v="79"/>
    <s v="Customer 133"/>
    <x v="2"/>
    <x v="0"/>
    <x v="1"/>
    <x v="2"/>
    <n v="1"/>
    <n v="12000"/>
    <n v="16500"/>
    <x v="2"/>
    <n v="12000"/>
    <n v="4500"/>
    <n v="0.27272727272727271"/>
  </r>
  <r>
    <s v="ORD1091"/>
    <x v="80"/>
    <s v="Customer 121"/>
    <x v="3"/>
    <x v="0"/>
    <x v="3"/>
    <x v="5"/>
    <n v="2"/>
    <n v="2800"/>
    <n v="4200"/>
    <x v="46"/>
    <n v="5600"/>
    <n v="2800"/>
    <n v="0.33333333333333331"/>
  </r>
  <r>
    <s v="ORD1092"/>
    <x v="29"/>
    <s v="Customer 8"/>
    <x v="2"/>
    <x v="3"/>
    <x v="1"/>
    <x v="1"/>
    <n v="13"/>
    <n v="15000"/>
    <n v="19500"/>
    <x v="71"/>
    <n v="195000"/>
    <n v="58500"/>
    <n v="0.23076923076923081"/>
  </r>
  <r>
    <s v="ORD1093"/>
    <x v="81"/>
    <s v="Customer 118"/>
    <x v="2"/>
    <x v="4"/>
    <x v="1"/>
    <x v="7"/>
    <n v="10"/>
    <n v="42000"/>
    <n v="55000"/>
    <x v="72"/>
    <n v="420000"/>
    <n v="130000"/>
    <n v="0.23636363636363639"/>
  </r>
  <r>
    <s v="ORD1094"/>
    <x v="82"/>
    <s v="Customer 55"/>
    <x v="3"/>
    <x v="1"/>
    <x v="1"/>
    <x v="7"/>
    <n v="9"/>
    <n v="42000"/>
    <n v="55000"/>
    <x v="73"/>
    <n v="378000"/>
    <n v="117000"/>
    <n v="0.23636363636363639"/>
  </r>
  <r>
    <s v="ORD1095"/>
    <x v="36"/>
    <s v="Customer 43"/>
    <x v="2"/>
    <x v="5"/>
    <x v="0"/>
    <x v="0"/>
    <n v="19"/>
    <n v="1800"/>
    <n v="2600"/>
    <x v="8"/>
    <n v="34200"/>
    <n v="15200"/>
    <n v="0.30769230769230771"/>
  </r>
  <r>
    <s v="ORD1096"/>
    <x v="83"/>
    <s v="Customer 132"/>
    <x v="2"/>
    <x v="3"/>
    <x v="0"/>
    <x v="3"/>
    <n v="7"/>
    <n v="400"/>
    <n v="650"/>
    <x v="47"/>
    <n v="2800"/>
    <n v="1750"/>
    <n v="0.38461538461538458"/>
  </r>
  <r>
    <s v="ORD1097"/>
    <x v="82"/>
    <s v="Customer 63"/>
    <x v="4"/>
    <x v="0"/>
    <x v="0"/>
    <x v="6"/>
    <n v="18"/>
    <n v="1800"/>
    <n v="2800"/>
    <x v="59"/>
    <n v="32400"/>
    <n v="18000"/>
    <n v="0.35714285714285721"/>
  </r>
  <r>
    <s v="ORD1098"/>
    <x v="84"/>
    <s v="Customer 42"/>
    <x v="0"/>
    <x v="4"/>
    <x v="1"/>
    <x v="7"/>
    <n v="11"/>
    <n v="42000"/>
    <n v="55000"/>
    <x v="56"/>
    <n v="462000"/>
    <n v="143000"/>
    <n v="0.23636363636363639"/>
  </r>
  <r>
    <s v="ORD1099"/>
    <x v="85"/>
    <s v="Customer 99"/>
    <x v="4"/>
    <x v="1"/>
    <x v="3"/>
    <x v="5"/>
    <n v="19"/>
    <n v="2800"/>
    <n v="4200"/>
    <x v="66"/>
    <n v="53200"/>
    <n v="26600"/>
    <n v="0.33333333333333331"/>
  </r>
  <r>
    <s v="ORD1100"/>
    <x v="86"/>
    <s v="Customer 51"/>
    <x v="4"/>
    <x v="1"/>
    <x v="1"/>
    <x v="2"/>
    <n v="12"/>
    <n v="12000"/>
    <n v="16500"/>
    <x v="15"/>
    <n v="144000"/>
    <n v="54000"/>
    <n v="0.27272727272727271"/>
  </r>
  <r>
    <s v="ORD1101"/>
    <x v="87"/>
    <s v="Customer 108"/>
    <x v="1"/>
    <x v="1"/>
    <x v="0"/>
    <x v="8"/>
    <n v="10"/>
    <n v="900"/>
    <n v="1500"/>
    <x v="74"/>
    <n v="9000"/>
    <n v="6000"/>
    <n v="0.4"/>
  </r>
  <r>
    <s v="ORD1102"/>
    <x v="23"/>
    <s v="Customer 15"/>
    <x v="1"/>
    <x v="5"/>
    <x v="1"/>
    <x v="2"/>
    <n v="16"/>
    <n v="12000"/>
    <n v="16500"/>
    <x v="57"/>
    <n v="192000"/>
    <n v="72000"/>
    <n v="0.27272727272727271"/>
  </r>
  <r>
    <s v="ORD1103"/>
    <x v="88"/>
    <s v="Customer 72"/>
    <x v="2"/>
    <x v="3"/>
    <x v="0"/>
    <x v="8"/>
    <n v="11"/>
    <n v="900"/>
    <n v="1500"/>
    <x v="2"/>
    <n v="9900"/>
    <n v="6600"/>
    <n v="0.4"/>
  </r>
  <r>
    <s v="ORD1104"/>
    <x v="89"/>
    <s v="Customer 105"/>
    <x v="2"/>
    <x v="5"/>
    <x v="0"/>
    <x v="0"/>
    <n v="13"/>
    <n v="1800"/>
    <n v="2600"/>
    <x v="75"/>
    <n v="23400"/>
    <n v="10400"/>
    <n v="0.30769230769230771"/>
  </r>
  <r>
    <s v="ORD1105"/>
    <x v="90"/>
    <s v="Customer 136"/>
    <x v="0"/>
    <x v="5"/>
    <x v="0"/>
    <x v="3"/>
    <n v="18"/>
    <n v="400"/>
    <n v="650"/>
    <x v="76"/>
    <n v="7200"/>
    <n v="4500"/>
    <n v="0.38461538461538458"/>
  </r>
  <r>
    <s v="ORD1106"/>
    <x v="91"/>
    <s v="Customer 136"/>
    <x v="2"/>
    <x v="4"/>
    <x v="1"/>
    <x v="2"/>
    <n v="15"/>
    <n v="12000"/>
    <n v="16500"/>
    <x v="37"/>
    <n v="180000"/>
    <n v="67500"/>
    <n v="0.27272727272727271"/>
  </r>
  <r>
    <s v="ORD1107"/>
    <x v="92"/>
    <s v="Customer 7"/>
    <x v="3"/>
    <x v="1"/>
    <x v="1"/>
    <x v="1"/>
    <n v="3"/>
    <n v="15000"/>
    <n v="19500"/>
    <x v="77"/>
    <n v="45000"/>
    <n v="13500"/>
    <n v="0.23076923076923081"/>
  </r>
  <r>
    <s v="ORD1108"/>
    <x v="93"/>
    <s v="Customer 148"/>
    <x v="2"/>
    <x v="1"/>
    <x v="0"/>
    <x v="3"/>
    <n v="2"/>
    <n v="400"/>
    <n v="650"/>
    <x v="78"/>
    <n v="800"/>
    <n v="500"/>
    <n v="0.38461538461538458"/>
  </r>
  <r>
    <s v="ORD1109"/>
    <x v="94"/>
    <s v="Customer 6"/>
    <x v="4"/>
    <x v="0"/>
    <x v="1"/>
    <x v="2"/>
    <n v="12"/>
    <n v="12000"/>
    <n v="16500"/>
    <x v="15"/>
    <n v="144000"/>
    <n v="54000"/>
    <n v="0.27272727272727271"/>
  </r>
  <r>
    <s v="ORD1110"/>
    <x v="43"/>
    <s v="Customer 143"/>
    <x v="3"/>
    <x v="3"/>
    <x v="2"/>
    <x v="4"/>
    <n v="10"/>
    <n v="8500"/>
    <n v="12000"/>
    <x v="44"/>
    <n v="85000"/>
    <n v="35000"/>
    <n v="0.29166666666666669"/>
  </r>
  <r>
    <s v="ORD1111"/>
    <x v="95"/>
    <s v="Customer 69"/>
    <x v="4"/>
    <x v="2"/>
    <x v="0"/>
    <x v="0"/>
    <n v="12"/>
    <n v="1800"/>
    <n v="2600"/>
    <x v="14"/>
    <n v="21600"/>
    <n v="9600"/>
    <n v="0.30769230769230771"/>
  </r>
  <r>
    <s v="ORD1112"/>
    <x v="63"/>
    <s v="Customer 18"/>
    <x v="2"/>
    <x v="1"/>
    <x v="0"/>
    <x v="9"/>
    <n v="11"/>
    <n v="2500"/>
    <n v="3600"/>
    <x v="79"/>
    <n v="27500"/>
    <n v="12100"/>
    <n v="0.30555555555555558"/>
  </r>
  <r>
    <s v="ORD1113"/>
    <x v="96"/>
    <s v="Customer 29"/>
    <x v="1"/>
    <x v="2"/>
    <x v="0"/>
    <x v="8"/>
    <n v="5"/>
    <n v="900"/>
    <n v="1500"/>
    <x v="80"/>
    <n v="4500"/>
    <n v="3000"/>
    <n v="0.4"/>
  </r>
  <r>
    <s v="ORD1114"/>
    <x v="97"/>
    <s v="Customer 61"/>
    <x v="3"/>
    <x v="2"/>
    <x v="0"/>
    <x v="6"/>
    <n v="13"/>
    <n v="1800"/>
    <n v="2800"/>
    <x v="51"/>
    <n v="23400"/>
    <n v="13000"/>
    <n v="0.35714285714285721"/>
  </r>
  <r>
    <s v="ORD1115"/>
    <x v="85"/>
    <s v="Customer 142"/>
    <x v="4"/>
    <x v="2"/>
    <x v="0"/>
    <x v="3"/>
    <n v="11"/>
    <n v="400"/>
    <n v="650"/>
    <x v="81"/>
    <n v="4400"/>
    <n v="2750"/>
    <n v="0.38461538461538458"/>
  </r>
  <r>
    <s v="ORD1116"/>
    <x v="98"/>
    <s v="Customer 145"/>
    <x v="2"/>
    <x v="3"/>
    <x v="0"/>
    <x v="8"/>
    <n v="5"/>
    <n v="900"/>
    <n v="1500"/>
    <x v="80"/>
    <n v="4500"/>
    <n v="3000"/>
    <n v="0.4"/>
  </r>
  <r>
    <s v="ORD1117"/>
    <x v="99"/>
    <s v="Customer 150"/>
    <x v="0"/>
    <x v="5"/>
    <x v="0"/>
    <x v="9"/>
    <n v="6"/>
    <n v="2500"/>
    <n v="3600"/>
    <x v="64"/>
    <n v="15000"/>
    <n v="6600"/>
    <n v="0.30555555555555558"/>
  </r>
  <r>
    <s v="ORD1118"/>
    <x v="0"/>
    <s v="Customer 70"/>
    <x v="4"/>
    <x v="2"/>
    <x v="3"/>
    <x v="5"/>
    <n v="13"/>
    <n v="2800"/>
    <n v="4200"/>
    <x v="82"/>
    <n v="36400"/>
    <n v="18200"/>
    <n v="0.33333333333333331"/>
  </r>
  <r>
    <s v="ORD1119"/>
    <x v="78"/>
    <s v="Customer 40"/>
    <x v="0"/>
    <x v="1"/>
    <x v="0"/>
    <x v="6"/>
    <n v="16"/>
    <n v="1800"/>
    <n v="2800"/>
    <x v="83"/>
    <n v="28800"/>
    <n v="16000"/>
    <n v="0.35714285714285721"/>
  </r>
  <r>
    <s v="ORD1120"/>
    <x v="100"/>
    <s v="Customer 101"/>
    <x v="2"/>
    <x v="3"/>
    <x v="1"/>
    <x v="1"/>
    <n v="10"/>
    <n v="15000"/>
    <n v="19500"/>
    <x v="68"/>
    <n v="150000"/>
    <n v="45000"/>
    <n v="0.23076923076923081"/>
  </r>
  <r>
    <s v="ORD1121"/>
    <x v="89"/>
    <s v="Customer 42"/>
    <x v="4"/>
    <x v="0"/>
    <x v="0"/>
    <x v="3"/>
    <n v="1"/>
    <n v="400"/>
    <n v="650"/>
    <x v="84"/>
    <n v="400"/>
    <n v="250"/>
    <n v="0.38461538461538458"/>
  </r>
  <r>
    <s v="ORD1122"/>
    <x v="6"/>
    <s v="Customer 118"/>
    <x v="1"/>
    <x v="5"/>
    <x v="0"/>
    <x v="6"/>
    <n v="4"/>
    <n v="1800"/>
    <n v="2800"/>
    <x v="85"/>
    <n v="7200"/>
    <n v="4000"/>
    <n v="0.35714285714285721"/>
  </r>
  <r>
    <s v="ORD1123"/>
    <x v="55"/>
    <s v="Customer 123"/>
    <x v="1"/>
    <x v="1"/>
    <x v="0"/>
    <x v="0"/>
    <n v="1"/>
    <n v="1800"/>
    <n v="2600"/>
    <x v="18"/>
    <n v="1800"/>
    <n v="800"/>
    <n v="0.30769230769230771"/>
  </r>
  <r>
    <s v="ORD1124"/>
    <x v="37"/>
    <s v="Customer 43"/>
    <x v="1"/>
    <x v="2"/>
    <x v="2"/>
    <x v="4"/>
    <n v="12"/>
    <n v="8500"/>
    <n v="12000"/>
    <x v="22"/>
    <n v="102000"/>
    <n v="42000"/>
    <n v="0.29166666666666669"/>
  </r>
  <r>
    <s v="ORD1125"/>
    <x v="101"/>
    <s v="Customer 9"/>
    <x v="3"/>
    <x v="0"/>
    <x v="2"/>
    <x v="4"/>
    <n v="10"/>
    <n v="8500"/>
    <n v="12000"/>
    <x v="44"/>
    <n v="85000"/>
    <n v="35000"/>
    <n v="0.29166666666666669"/>
  </r>
  <r>
    <s v="ORD1126"/>
    <x v="102"/>
    <s v="Customer 51"/>
    <x v="2"/>
    <x v="4"/>
    <x v="0"/>
    <x v="3"/>
    <n v="5"/>
    <n v="400"/>
    <n v="650"/>
    <x v="86"/>
    <n v="2000"/>
    <n v="1250"/>
    <n v="0.38461538461538458"/>
  </r>
  <r>
    <s v="ORD1127"/>
    <x v="103"/>
    <s v="Customer 118"/>
    <x v="3"/>
    <x v="5"/>
    <x v="3"/>
    <x v="5"/>
    <n v="19"/>
    <n v="2800"/>
    <n v="4200"/>
    <x v="66"/>
    <n v="53200"/>
    <n v="26600"/>
    <n v="0.33333333333333331"/>
  </r>
  <r>
    <s v="ORD1128"/>
    <x v="104"/>
    <s v="Customer 75"/>
    <x v="0"/>
    <x v="2"/>
    <x v="0"/>
    <x v="6"/>
    <n v="20"/>
    <n v="1800"/>
    <n v="2800"/>
    <x v="87"/>
    <n v="36000"/>
    <n v="20000"/>
    <n v="0.35714285714285721"/>
  </r>
  <r>
    <s v="ORD1129"/>
    <x v="105"/>
    <s v="Customer 24"/>
    <x v="3"/>
    <x v="4"/>
    <x v="0"/>
    <x v="9"/>
    <n v="14"/>
    <n v="2500"/>
    <n v="3600"/>
    <x v="59"/>
    <n v="35000"/>
    <n v="15400"/>
    <n v="0.30555555555555558"/>
  </r>
  <r>
    <s v="ORD1130"/>
    <x v="106"/>
    <s v="Customer 17"/>
    <x v="4"/>
    <x v="4"/>
    <x v="0"/>
    <x v="9"/>
    <n v="18"/>
    <n v="2500"/>
    <n v="3600"/>
    <x v="88"/>
    <n v="45000"/>
    <n v="19800"/>
    <n v="0.30555555555555558"/>
  </r>
  <r>
    <s v="ORD1131"/>
    <x v="107"/>
    <s v="Customer 90"/>
    <x v="1"/>
    <x v="2"/>
    <x v="1"/>
    <x v="1"/>
    <n v="5"/>
    <n v="15000"/>
    <n v="19500"/>
    <x v="23"/>
    <n v="75000"/>
    <n v="22500"/>
    <n v="0.23076923076923081"/>
  </r>
  <r>
    <s v="ORD1132"/>
    <x v="108"/>
    <s v="Customer 67"/>
    <x v="0"/>
    <x v="4"/>
    <x v="1"/>
    <x v="7"/>
    <n v="1"/>
    <n v="42000"/>
    <n v="55000"/>
    <x v="89"/>
    <n v="42000"/>
    <n v="13000"/>
    <n v="0.23636363636363639"/>
  </r>
  <r>
    <s v="ORD1133"/>
    <x v="109"/>
    <s v="Customer 5"/>
    <x v="0"/>
    <x v="5"/>
    <x v="0"/>
    <x v="8"/>
    <n v="17"/>
    <n v="900"/>
    <n v="1500"/>
    <x v="90"/>
    <n v="15300"/>
    <n v="10200"/>
    <n v="0.4"/>
  </r>
  <r>
    <s v="ORD1134"/>
    <x v="110"/>
    <s v="Customer 44"/>
    <x v="3"/>
    <x v="5"/>
    <x v="0"/>
    <x v="0"/>
    <n v="18"/>
    <n v="1800"/>
    <n v="2600"/>
    <x v="91"/>
    <n v="32400"/>
    <n v="14400"/>
    <n v="0.30769230769230771"/>
  </r>
  <r>
    <s v="ORD1135"/>
    <x v="111"/>
    <s v="Customer 138"/>
    <x v="1"/>
    <x v="0"/>
    <x v="0"/>
    <x v="8"/>
    <n v="13"/>
    <n v="900"/>
    <n v="1500"/>
    <x v="92"/>
    <n v="11700"/>
    <n v="7800"/>
    <n v="0.4"/>
  </r>
  <r>
    <s v="ORD1136"/>
    <x v="73"/>
    <s v="Customer 74"/>
    <x v="1"/>
    <x v="3"/>
    <x v="1"/>
    <x v="7"/>
    <n v="14"/>
    <n v="42000"/>
    <n v="55000"/>
    <x v="40"/>
    <n v="588000"/>
    <n v="182000"/>
    <n v="0.23636363636363639"/>
  </r>
  <r>
    <s v="ORD1137"/>
    <x v="91"/>
    <s v="Customer 51"/>
    <x v="1"/>
    <x v="1"/>
    <x v="1"/>
    <x v="1"/>
    <n v="12"/>
    <n v="15000"/>
    <n v="19500"/>
    <x v="93"/>
    <n v="180000"/>
    <n v="54000"/>
    <n v="0.23076923076923081"/>
  </r>
  <r>
    <s v="ORD1138"/>
    <x v="112"/>
    <s v="Customer 75"/>
    <x v="2"/>
    <x v="2"/>
    <x v="1"/>
    <x v="1"/>
    <n v="4"/>
    <n v="15000"/>
    <n v="19500"/>
    <x v="94"/>
    <n v="60000"/>
    <n v="18000"/>
    <n v="0.23076923076923081"/>
  </r>
  <r>
    <s v="ORD1139"/>
    <x v="18"/>
    <s v="Customer 66"/>
    <x v="0"/>
    <x v="2"/>
    <x v="1"/>
    <x v="1"/>
    <n v="11"/>
    <n v="15000"/>
    <n v="19500"/>
    <x v="95"/>
    <n v="165000"/>
    <n v="49500"/>
    <n v="0.23076923076923081"/>
  </r>
  <r>
    <s v="ORD1140"/>
    <x v="113"/>
    <s v="Customer 35"/>
    <x v="4"/>
    <x v="4"/>
    <x v="0"/>
    <x v="8"/>
    <n v="12"/>
    <n v="900"/>
    <n v="1500"/>
    <x v="96"/>
    <n v="10800"/>
    <n v="7200"/>
    <n v="0.4"/>
  </r>
  <r>
    <s v="ORD1141"/>
    <x v="112"/>
    <s v="Customer 147"/>
    <x v="4"/>
    <x v="2"/>
    <x v="0"/>
    <x v="8"/>
    <n v="14"/>
    <n v="900"/>
    <n v="1500"/>
    <x v="41"/>
    <n v="12600"/>
    <n v="8400"/>
    <n v="0.4"/>
  </r>
  <r>
    <s v="ORD1142"/>
    <x v="114"/>
    <s v="Customer 68"/>
    <x v="2"/>
    <x v="2"/>
    <x v="1"/>
    <x v="7"/>
    <n v="5"/>
    <n v="42000"/>
    <n v="55000"/>
    <x v="97"/>
    <n v="210000"/>
    <n v="65000"/>
    <n v="0.23636363636363639"/>
  </r>
  <r>
    <s v="ORD1143"/>
    <x v="86"/>
    <s v="Customer 82"/>
    <x v="0"/>
    <x v="5"/>
    <x v="2"/>
    <x v="4"/>
    <n v="7"/>
    <n v="8500"/>
    <n v="12000"/>
    <x v="98"/>
    <n v="59500"/>
    <n v="24500"/>
    <n v="0.29166666666666669"/>
  </r>
  <r>
    <s v="ORD1144"/>
    <x v="115"/>
    <s v="Customer 60"/>
    <x v="2"/>
    <x v="2"/>
    <x v="1"/>
    <x v="2"/>
    <n v="6"/>
    <n v="12000"/>
    <n v="16500"/>
    <x v="99"/>
    <n v="72000"/>
    <n v="27000"/>
    <n v="0.27272727272727271"/>
  </r>
  <r>
    <s v="ORD1145"/>
    <x v="116"/>
    <s v="Customer 57"/>
    <x v="0"/>
    <x v="3"/>
    <x v="2"/>
    <x v="4"/>
    <n v="12"/>
    <n v="8500"/>
    <n v="12000"/>
    <x v="22"/>
    <n v="102000"/>
    <n v="42000"/>
    <n v="0.29166666666666669"/>
  </r>
  <r>
    <s v="ORD1146"/>
    <x v="117"/>
    <s v="Customer 125"/>
    <x v="4"/>
    <x v="4"/>
    <x v="3"/>
    <x v="5"/>
    <n v="7"/>
    <n v="2800"/>
    <n v="4200"/>
    <x v="7"/>
    <n v="19600"/>
    <n v="9800"/>
    <n v="0.33333333333333331"/>
  </r>
  <r>
    <s v="ORD1147"/>
    <x v="118"/>
    <s v="Customer 106"/>
    <x v="3"/>
    <x v="1"/>
    <x v="3"/>
    <x v="5"/>
    <n v="8"/>
    <n v="2800"/>
    <n v="4200"/>
    <x v="100"/>
    <n v="22400"/>
    <n v="11200"/>
    <n v="0.33333333333333331"/>
  </r>
  <r>
    <s v="ORD1148"/>
    <x v="119"/>
    <s v="Customer 72"/>
    <x v="1"/>
    <x v="5"/>
    <x v="3"/>
    <x v="5"/>
    <n v="18"/>
    <n v="2800"/>
    <n v="4200"/>
    <x v="101"/>
    <n v="50400"/>
    <n v="25200"/>
    <n v="0.33333333333333331"/>
  </r>
  <r>
    <s v="ORD1149"/>
    <x v="120"/>
    <s v="Customer 149"/>
    <x v="0"/>
    <x v="2"/>
    <x v="0"/>
    <x v="0"/>
    <n v="15"/>
    <n v="1800"/>
    <n v="2600"/>
    <x v="1"/>
    <n v="27000"/>
    <n v="12000"/>
    <n v="0.30769230769230771"/>
  </r>
  <r>
    <s v="ORD1150"/>
    <x v="45"/>
    <s v="Customer 42"/>
    <x v="0"/>
    <x v="5"/>
    <x v="1"/>
    <x v="1"/>
    <n v="3"/>
    <n v="15000"/>
    <n v="19500"/>
    <x v="77"/>
    <n v="45000"/>
    <n v="13500"/>
    <n v="0.23076923076923081"/>
  </r>
  <r>
    <s v="ORD1151"/>
    <x v="114"/>
    <s v="Customer 104"/>
    <x v="1"/>
    <x v="2"/>
    <x v="0"/>
    <x v="3"/>
    <n v="6"/>
    <n v="400"/>
    <n v="650"/>
    <x v="102"/>
    <n v="2400"/>
    <n v="1500"/>
    <n v="0.38461538461538458"/>
  </r>
  <r>
    <s v="ORD1152"/>
    <x v="121"/>
    <s v="Customer 128"/>
    <x v="4"/>
    <x v="5"/>
    <x v="0"/>
    <x v="6"/>
    <n v="20"/>
    <n v="1800"/>
    <n v="2800"/>
    <x v="87"/>
    <n v="36000"/>
    <n v="20000"/>
    <n v="0.35714285714285721"/>
  </r>
  <r>
    <s v="ORD1153"/>
    <x v="122"/>
    <s v="Customer 55"/>
    <x v="2"/>
    <x v="0"/>
    <x v="2"/>
    <x v="4"/>
    <n v="4"/>
    <n v="8500"/>
    <n v="12000"/>
    <x v="103"/>
    <n v="34000"/>
    <n v="14000"/>
    <n v="0.29166666666666669"/>
  </r>
  <r>
    <s v="ORD1154"/>
    <x v="47"/>
    <s v="Customer 77"/>
    <x v="2"/>
    <x v="0"/>
    <x v="3"/>
    <x v="5"/>
    <n v="5"/>
    <n v="2800"/>
    <n v="4200"/>
    <x v="41"/>
    <n v="14000"/>
    <n v="7000"/>
    <n v="0.33333333333333331"/>
  </r>
  <r>
    <s v="ORD1155"/>
    <x v="123"/>
    <s v="Customer 55"/>
    <x v="3"/>
    <x v="0"/>
    <x v="1"/>
    <x v="1"/>
    <n v="13"/>
    <n v="15000"/>
    <n v="19500"/>
    <x v="71"/>
    <n v="195000"/>
    <n v="58500"/>
    <n v="0.23076923076923081"/>
  </r>
  <r>
    <s v="ORD1156"/>
    <x v="4"/>
    <s v="Customer 14"/>
    <x v="4"/>
    <x v="5"/>
    <x v="1"/>
    <x v="1"/>
    <n v="16"/>
    <n v="15000"/>
    <n v="19500"/>
    <x v="104"/>
    <n v="240000"/>
    <n v="72000"/>
    <n v="0.23076923076923081"/>
  </r>
  <r>
    <s v="ORD1157"/>
    <x v="107"/>
    <s v="Customer 54"/>
    <x v="1"/>
    <x v="5"/>
    <x v="0"/>
    <x v="9"/>
    <n v="7"/>
    <n v="2500"/>
    <n v="3600"/>
    <x v="33"/>
    <n v="17500"/>
    <n v="7700"/>
    <n v="0.30555555555555558"/>
  </r>
  <r>
    <s v="ORD1158"/>
    <x v="117"/>
    <s v="Customer 65"/>
    <x v="4"/>
    <x v="4"/>
    <x v="0"/>
    <x v="0"/>
    <n v="8"/>
    <n v="1800"/>
    <n v="2600"/>
    <x v="105"/>
    <n v="14400"/>
    <n v="6400"/>
    <n v="0.30769230769230771"/>
  </r>
  <r>
    <s v="ORD1159"/>
    <x v="124"/>
    <s v="Customer 40"/>
    <x v="4"/>
    <x v="4"/>
    <x v="0"/>
    <x v="0"/>
    <n v="15"/>
    <n v="1800"/>
    <n v="2600"/>
    <x v="1"/>
    <n v="27000"/>
    <n v="12000"/>
    <n v="0.30769230769230771"/>
  </r>
  <r>
    <s v="ORD1160"/>
    <x v="125"/>
    <s v="Customer 14"/>
    <x v="1"/>
    <x v="0"/>
    <x v="0"/>
    <x v="6"/>
    <n v="15"/>
    <n v="1800"/>
    <n v="2800"/>
    <x v="12"/>
    <n v="27000"/>
    <n v="15000"/>
    <n v="0.35714285714285721"/>
  </r>
  <r>
    <s v="ORD1161"/>
    <x v="86"/>
    <s v="Customer 8"/>
    <x v="1"/>
    <x v="5"/>
    <x v="0"/>
    <x v="8"/>
    <n v="8"/>
    <n v="900"/>
    <n v="1500"/>
    <x v="65"/>
    <n v="7200"/>
    <n v="4800"/>
    <n v="0.4"/>
  </r>
  <r>
    <s v="ORD1162"/>
    <x v="119"/>
    <s v="Customer 23"/>
    <x v="4"/>
    <x v="0"/>
    <x v="2"/>
    <x v="4"/>
    <n v="1"/>
    <n v="8500"/>
    <n v="12000"/>
    <x v="65"/>
    <n v="8500"/>
    <n v="3500"/>
    <n v="0.29166666666666669"/>
  </r>
  <r>
    <s v="ORD1163"/>
    <x v="126"/>
    <s v="Customer 32"/>
    <x v="1"/>
    <x v="0"/>
    <x v="0"/>
    <x v="9"/>
    <n v="8"/>
    <n v="2500"/>
    <n v="3600"/>
    <x v="106"/>
    <n v="20000"/>
    <n v="8800"/>
    <n v="0.30555555555555558"/>
  </r>
  <r>
    <s v="ORD1164"/>
    <x v="127"/>
    <s v="Customer 35"/>
    <x v="1"/>
    <x v="2"/>
    <x v="0"/>
    <x v="0"/>
    <n v="18"/>
    <n v="1800"/>
    <n v="2600"/>
    <x v="91"/>
    <n v="32400"/>
    <n v="14400"/>
    <n v="0.30769230769230771"/>
  </r>
  <r>
    <s v="ORD1165"/>
    <x v="128"/>
    <s v="Customer 126"/>
    <x v="4"/>
    <x v="4"/>
    <x v="1"/>
    <x v="2"/>
    <n v="2"/>
    <n v="12000"/>
    <n v="16500"/>
    <x v="27"/>
    <n v="24000"/>
    <n v="9000"/>
    <n v="0.27272727272727271"/>
  </r>
  <r>
    <s v="ORD1166"/>
    <x v="129"/>
    <s v="Customer 98"/>
    <x v="0"/>
    <x v="5"/>
    <x v="0"/>
    <x v="0"/>
    <n v="11"/>
    <n v="1800"/>
    <n v="2600"/>
    <x v="3"/>
    <n v="19800"/>
    <n v="8800"/>
    <n v="0.30769230769230771"/>
  </r>
  <r>
    <s v="ORD1167"/>
    <x v="130"/>
    <s v="Customer 136"/>
    <x v="3"/>
    <x v="0"/>
    <x v="1"/>
    <x v="2"/>
    <n v="6"/>
    <n v="12000"/>
    <n v="16500"/>
    <x v="99"/>
    <n v="72000"/>
    <n v="27000"/>
    <n v="0.27272727272727271"/>
  </r>
  <r>
    <s v="ORD1168"/>
    <x v="23"/>
    <s v="Customer 47"/>
    <x v="4"/>
    <x v="3"/>
    <x v="0"/>
    <x v="6"/>
    <n v="17"/>
    <n v="1800"/>
    <n v="2800"/>
    <x v="107"/>
    <n v="30600"/>
    <n v="17000"/>
    <n v="0.35714285714285721"/>
  </r>
  <r>
    <s v="ORD1169"/>
    <x v="131"/>
    <s v="Customer 34"/>
    <x v="4"/>
    <x v="1"/>
    <x v="2"/>
    <x v="4"/>
    <n v="8"/>
    <n v="8500"/>
    <n v="12000"/>
    <x v="6"/>
    <n v="68000"/>
    <n v="28000"/>
    <n v="0.29166666666666669"/>
  </r>
  <r>
    <s v="ORD1170"/>
    <x v="86"/>
    <s v="Customer 20"/>
    <x v="0"/>
    <x v="5"/>
    <x v="1"/>
    <x v="7"/>
    <n v="17"/>
    <n v="42000"/>
    <n v="55000"/>
    <x v="108"/>
    <n v="714000"/>
    <n v="221000"/>
    <n v="0.23636363636363639"/>
  </r>
  <r>
    <s v="ORD1171"/>
    <x v="59"/>
    <s v="Customer 60"/>
    <x v="3"/>
    <x v="0"/>
    <x v="0"/>
    <x v="0"/>
    <n v="8"/>
    <n v="1800"/>
    <n v="2600"/>
    <x v="105"/>
    <n v="14400"/>
    <n v="6400"/>
    <n v="0.30769230769230771"/>
  </r>
  <r>
    <s v="ORD1172"/>
    <x v="132"/>
    <s v="Customer 77"/>
    <x v="2"/>
    <x v="0"/>
    <x v="0"/>
    <x v="8"/>
    <n v="3"/>
    <n v="900"/>
    <n v="1500"/>
    <x v="109"/>
    <n v="2700"/>
    <n v="1800"/>
    <n v="0.4"/>
  </r>
  <r>
    <s v="ORD1173"/>
    <x v="8"/>
    <s v="Customer 59"/>
    <x v="2"/>
    <x v="1"/>
    <x v="0"/>
    <x v="8"/>
    <n v="6"/>
    <n v="900"/>
    <n v="1500"/>
    <x v="62"/>
    <n v="5400"/>
    <n v="3600"/>
    <n v="0.4"/>
  </r>
  <r>
    <s v="ORD1174"/>
    <x v="133"/>
    <s v="Customer 37"/>
    <x v="0"/>
    <x v="3"/>
    <x v="0"/>
    <x v="6"/>
    <n v="10"/>
    <n v="1800"/>
    <n v="2800"/>
    <x v="110"/>
    <n v="18000"/>
    <n v="10000"/>
    <n v="0.35714285714285721"/>
  </r>
  <r>
    <s v="ORD1175"/>
    <x v="134"/>
    <s v="Customer 38"/>
    <x v="3"/>
    <x v="0"/>
    <x v="1"/>
    <x v="2"/>
    <n v="9"/>
    <n v="12000"/>
    <n v="16500"/>
    <x v="111"/>
    <n v="108000"/>
    <n v="40500"/>
    <n v="0.27272727272727271"/>
  </r>
  <r>
    <s v="ORD1176"/>
    <x v="135"/>
    <s v="Customer 129"/>
    <x v="2"/>
    <x v="0"/>
    <x v="0"/>
    <x v="8"/>
    <n v="8"/>
    <n v="900"/>
    <n v="1500"/>
    <x v="65"/>
    <n v="7200"/>
    <n v="4800"/>
    <n v="0.4"/>
  </r>
  <r>
    <s v="ORD1177"/>
    <x v="136"/>
    <s v="Customer 35"/>
    <x v="2"/>
    <x v="3"/>
    <x v="0"/>
    <x v="0"/>
    <n v="4"/>
    <n v="1800"/>
    <n v="2600"/>
    <x v="4"/>
    <n v="7200"/>
    <n v="3200"/>
    <n v="0.30769230769230771"/>
  </r>
  <r>
    <s v="ORD1178"/>
    <x v="137"/>
    <s v="Customer 146"/>
    <x v="3"/>
    <x v="2"/>
    <x v="1"/>
    <x v="2"/>
    <n v="9"/>
    <n v="12000"/>
    <n v="16500"/>
    <x v="111"/>
    <n v="108000"/>
    <n v="40500"/>
    <n v="0.27272727272727271"/>
  </r>
  <r>
    <s v="ORD1179"/>
    <x v="129"/>
    <s v="Customer 93"/>
    <x v="4"/>
    <x v="4"/>
    <x v="1"/>
    <x v="2"/>
    <n v="2"/>
    <n v="12000"/>
    <n v="16500"/>
    <x v="27"/>
    <n v="24000"/>
    <n v="9000"/>
    <n v="0.27272727272727271"/>
  </r>
  <r>
    <s v="ORD1180"/>
    <x v="138"/>
    <s v="Customer 38"/>
    <x v="0"/>
    <x v="2"/>
    <x v="1"/>
    <x v="1"/>
    <n v="1"/>
    <n v="15000"/>
    <n v="19500"/>
    <x v="92"/>
    <n v="15000"/>
    <n v="4500"/>
    <n v="0.23076923076923081"/>
  </r>
  <r>
    <s v="ORD1181"/>
    <x v="139"/>
    <s v="Customer 145"/>
    <x v="1"/>
    <x v="5"/>
    <x v="0"/>
    <x v="3"/>
    <n v="6"/>
    <n v="400"/>
    <n v="650"/>
    <x v="102"/>
    <n v="2400"/>
    <n v="1500"/>
    <n v="0.38461538461538458"/>
  </r>
  <r>
    <s v="ORD1182"/>
    <x v="140"/>
    <s v="Customer 149"/>
    <x v="4"/>
    <x v="1"/>
    <x v="0"/>
    <x v="8"/>
    <n v="7"/>
    <n v="900"/>
    <n v="1500"/>
    <x v="17"/>
    <n v="6300"/>
    <n v="4200"/>
    <n v="0.4"/>
  </r>
  <r>
    <s v="ORD1183"/>
    <x v="141"/>
    <s v="Customer 70"/>
    <x v="3"/>
    <x v="5"/>
    <x v="0"/>
    <x v="8"/>
    <n v="18"/>
    <n v="900"/>
    <n v="1500"/>
    <x v="112"/>
    <n v="16200"/>
    <n v="10800"/>
    <n v="0.4"/>
  </r>
  <r>
    <s v="ORD1184"/>
    <x v="142"/>
    <s v="Customer 109"/>
    <x v="0"/>
    <x v="0"/>
    <x v="3"/>
    <x v="5"/>
    <n v="8"/>
    <n v="2800"/>
    <n v="4200"/>
    <x v="100"/>
    <n v="22400"/>
    <n v="11200"/>
    <n v="0.33333333333333331"/>
  </r>
  <r>
    <s v="ORD1185"/>
    <x v="143"/>
    <s v="Customer 121"/>
    <x v="2"/>
    <x v="3"/>
    <x v="0"/>
    <x v="3"/>
    <n v="17"/>
    <n v="400"/>
    <n v="650"/>
    <x v="49"/>
    <n v="6800"/>
    <n v="4250"/>
    <n v="0.38461538461538458"/>
  </r>
  <r>
    <s v="ORD1186"/>
    <x v="144"/>
    <s v="Customer 34"/>
    <x v="1"/>
    <x v="3"/>
    <x v="1"/>
    <x v="1"/>
    <n v="17"/>
    <n v="15000"/>
    <n v="19500"/>
    <x v="113"/>
    <n v="255000"/>
    <n v="76500"/>
    <n v="0.23076923076923081"/>
  </r>
  <r>
    <s v="ORD1187"/>
    <x v="145"/>
    <s v="Customer 104"/>
    <x v="4"/>
    <x v="0"/>
    <x v="0"/>
    <x v="6"/>
    <n v="2"/>
    <n v="1800"/>
    <n v="2800"/>
    <x v="55"/>
    <n v="3600"/>
    <n v="2000"/>
    <n v="0.35714285714285721"/>
  </r>
  <r>
    <s v="ORD1188"/>
    <x v="146"/>
    <s v="Customer 124"/>
    <x v="0"/>
    <x v="2"/>
    <x v="1"/>
    <x v="1"/>
    <n v="11"/>
    <n v="15000"/>
    <n v="19500"/>
    <x v="95"/>
    <n v="165000"/>
    <n v="49500"/>
    <n v="0.23076923076923081"/>
  </r>
  <r>
    <s v="ORD1189"/>
    <x v="147"/>
    <s v="Customer 86"/>
    <x v="1"/>
    <x v="4"/>
    <x v="0"/>
    <x v="3"/>
    <n v="7"/>
    <n v="400"/>
    <n v="650"/>
    <x v="47"/>
    <n v="2800"/>
    <n v="1750"/>
    <n v="0.38461538461538458"/>
  </r>
  <r>
    <s v="ORD1190"/>
    <x v="148"/>
    <s v="Customer 82"/>
    <x v="2"/>
    <x v="0"/>
    <x v="0"/>
    <x v="9"/>
    <n v="8"/>
    <n v="2500"/>
    <n v="3600"/>
    <x v="106"/>
    <n v="20000"/>
    <n v="8800"/>
    <n v="0.30555555555555558"/>
  </r>
  <r>
    <s v="ORD1191"/>
    <x v="149"/>
    <s v="Customer 109"/>
    <x v="2"/>
    <x v="0"/>
    <x v="0"/>
    <x v="8"/>
    <n v="8"/>
    <n v="900"/>
    <n v="1500"/>
    <x v="65"/>
    <n v="7200"/>
    <n v="4800"/>
    <n v="0.4"/>
  </r>
  <r>
    <s v="ORD1192"/>
    <x v="49"/>
    <s v="Customer 25"/>
    <x v="2"/>
    <x v="3"/>
    <x v="1"/>
    <x v="2"/>
    <n v="11"/>
    <n v="12000"/>
    <n v="16500"/>
    <x v="11"/>
    <n v="132000"/>
    <n v="49500"/>
    <n v="0.27272727272727271"/>
  </r>
  <r>
    <s v="ORD1193"/>
    <x v="150"/>
    <s v="Customer 23"/>
    <x v="2"/>
    <x v="1"/>
    <x v="3"/>
    <x v="5"/>
    <n v="16"/>
    <n v="2800"/>
    <n v="4200"/>
    <x v="114"/>
    <n v="44800"/>
    <n v="22400"/>
    <n v="0.33333333333333331"/>
  </r>
  <r>
    <s v="ORD1194"/>
    <x v="113"/>
    <s v="Customer 57"/>
    <x v="1"/>
    <x v="5"/>
    <x v="0"/>
    <x v="6"/>
    <n v="12"/>
    <n v="1800"/>
    <n v="2800"/>
    <x v="100"/>
    <n v="21600"/>
    <n v="12000"/>
    <n v="0.35714285714285721"/>
  </r>
  <r>
    <s v="ORD1195"/>
    <x v="151"/>
    <s v="Customer 61"/>
    <x v="0"/>
    <x v="0"/>
    <x v="0"/>
    <x v="3"/>
    <n v="16"/>
    <n v="400"/>
    <n v="650"/>
    <x v="4"/>
    <n v="6400"/>
    <n v="4000"/>
    <n v="0.38461538461538458"/>
  </r>
  <r>
    <s v="ORD1196"/>
    <x v="113"/>
    <s v="Customer 116"/>
    <x v="3"/>
    <x v="2"/>
    <x v="0"/>
    <x v="9"/>
    <n v="5"/>
    <n v="2500"/>
    <n v="3600"/>
    <x v="96"/>
    <n v="12500"/>
    <n v="5500"/>
    <n v="0.30555555555555558"/>
  </r>
  <r>
    <s v="ORD1197"/>
    <x v="152"/>
    <s v="Customer 145"/>
    <x v="3"/>
    <x v="1"/>
    <x v="1"/>
    <x v="2"/>
    <n v="14"/>
    <n v="12000"/>
    <n v="16500"/>
    <x v="115"/>
    <n v="168000"/>
    <n v="63000"/>
    <n v="0.27272727272727271"/>
  </r>
  <r>
    <s v="ORD1198"/>
    <x v="83"/>
    <s v="Customer 90"/>
    <x v="0"/>
    <x v="2"/>
    <x v="0"/>
    <x v="0"/>
    <n v="4"/>
    <n v="1800"/>
    <n v="2600"/>
    <x v="4"/>
    <n v="7200"/>
    <n v="3200"/>
    <n v="0.30769230769230771"/>
  </r>
  <r>
    <s v="ORD1199"/>
    <x v="153"/>
    <s v="Customer 55"/>
    <x v="1"/>
    <x v="5"/>
    <x v="2"/>
    <x v="4"/>
    <n v="14"/>
    <n v="8500"/>
    <n v="12000"/>
    <x v="116"/>
    <n v="119000"/>
    <n v="49000"/>
    <n v="0.29166666666666669"/>
  </r>
  <r>
    <s v="ORD1200"/>
    <x v="154"/>
    <s v="Customer 136"/>
    <x v="3"/>
    <x v="3"/>
    <x v="0"/>
    <x v="8"/>
    <n v="11"/>
    <n v="900"/>
    <n v="1500"/>
    <x v="2"/>
    <n v="9900"/>
    <n v="6600"/>
    <n v="0.4"/>
  </r>
  <r>
    <s v="ORD1201"/>
    <x v="82"/>
    <s v="Customer 134"/>
    <x v="3"/>
    <x v="0"/>
    <x v="0"/>
    <x v="0"/>
    <n v="3"/>
    <n v="1800"/>
    <n v="2600"/>
    <x v="60"/>
    <n v="5400"/>
    <n v="2400"/>
    <n v="0.30769230769230771"/>
  </r>
  <r>
    <s v="ORD1202"/>
    <x v="155"/>
    <s v="Customer 20"/>
    <x v="2"/>
    <x v="4"/>
    <x v="0"/>
    <x v="9"/>
    <n v="7"/>
    <n v="2500"/>
    <n v="3600"/>
    <x v="33"/>
    <n v="17500"/>
    <n v="7700"/>
    <n v="0.30555555555555558"/>
  </r>
  <r>
    <s v="ORD1203"/>
    <x v="156"/>
    <s v="Customer 58"/>
    <x v="0"/>
    <x v="1"/>
    <x v="0"/>
    <x v="3"/>
    <n v="13"/>
    <n v="400"/>
    <n v="650"/>
    <x v="117"/>
    <n v="5200"/>
    <n v="3250"/>
    <n v="0.38461538461538458"/>
  </r>
  <r>
    <s v="ORD1204"/>
    <x v="157"/>
    <s v="Customer 88"/>
    <x v="0"/>
    <x v="5"/>
    <x v="0"/>
    <x v="6"/>
    <n v="8"/>
    <n v="1800"/>
    <n v="2800"/>
    <x v="36"/>
    <n v="14400"/>
    <n v="8000"/>
    <n v="0.35714285714285721"/>
  </r>
  <r>
    <s v="ORD1205"/>
    <x v="158"/>
    <s v="Customer 62"/>
    <x v="3"/>
    <x v="3"/>
    <x v="0"/>
    <x v="6"/>
    <n v="11"/>
    <n v="1800"/>
    <n v="2800"/>
    <x v="118"/>
    <n v="19800"/>
    <n v="11000"/>
    <n v="0.35714285714285721"/>
  </r>
  <r>
    <s v="ORD1206"/>
    <x v="159"/>
    <s v="Customer 48"/>
    <x v="3"/>
    <x v="5"/>
    <x v="1"/>
    <x v="7"/>
    <n v="7"/>
    <n v="42000"/>
    <n v="55000"/>
    <x v="119"/>
    <n v="294000"/>
    <n v="91000"/>
    <n v="0.23636363636363639"/>
  </r>
  <r>
    <s v="ORD1207"/>
    <x v="132"/>
    <s v="Customer 60"/>
    <x v="2"/>
    <x v="0"/>
    <x v="0"/>
    <x v="0"/>
    <n v="7"/>
    <n v="1800"/>
    <n v="2600"/>
    <x v="120"/>
    <n v="12600"/>
    <n v="5600"/>
    <n v="0.30769230769230771"/>
  </r>
  <r>
    <s v="ORD1208"/>
    <x v="39"/>
    <s v="Customer 84"/>
    <x v="2"/>
    <x v="2"/>
    <x v="0"/>
    <x v="0"/>
    <n v="12"/>
    <n v="1800"/>
    <n v="2600"/>
    <x v="14"/>
    <n v="21600"/>
    <n v="9600"/>
    <n v="0.30769230769230771"/>
  </r>
  <r>
    <s v="ORD1209"/>
    <x v="121"/>
    <s v="Customer 145"/>
    <x v="4"/>
    <x v="1"/>
    <x v="2"/>
    <x v="4"/>
    <n v="13"/>
    <n v="8500"/>
    <n v="12000"/>
    <x v="121"/>
    <n v="110500"/>
    <n v="45500"/>
    <n v="0.29166666666666669"/>
  </r>
  <r>
    <s v="ORD1210"/>
    <x v="89"/>
    <s v="Customer 4"/>
    <x v="1"/>
    <x v="4"/>
    <x v="1"/>
    <x v="2"/>
    <n v="13"/>
    <n v="12000"/>
    <n v="16500"/>
    <x v="95"/>
    <n v="156000"/>
    <n v="58500"/>
    <n v="0.27272727272727271"/>
  </r>
  <r>
    <s v="ORD1211"/>
    <x v="39"/>
    <s v="Customer 140"/>
    <x v="1"/>
    <x v="3"/>
    <x v="1"/>
    <x v="1"/>
    <n v="5"/>
    <n v="15000"/>
    <n v="19500"/>
    <x v="23"/>
    <n v="75000"/>
    <n v="22500"/>
    <n v="0.23076923076923081"/>
  </r>
  <r>
    <s v="ORD1212"/>
    <x v="160"/>
    <s v="Customer 80"/>
    <x v="1"/>
    <x v="2"/>
    <x v="1"/>
    <x v="7"/>
    <n v="5"/>
    <n v="42000"/>
    <n v="55000"/>
    <x v="97"/>
    <n v="210000"/>
    <n v="65000"/>
    <n v="0.23636363636363639"/>
  </r>
  <r>
    <s v="ORD1213"/>
    <x v="100"/>
    <s v="Customer 115"/>
    <x v="4"/>
    <x v="5"/>
    <x v="2"/>
    <x v="4"/>
    <n v="6"/>
    <n v="8500"/>
    <n v="12000"/>
    <x v="122"/>
    <n v="51000"/>
    <n v="21000"/>
    <n v="0.29166666666666669"/>
  </r>
  <r>
    <s v="ORD1214"/>
    <x v="131"/>
    <s v="Customer 36"/>
    <x v="3"/>
    <x v="2"/>
    <x v="1"/>
    <x v="2"/>
    <n v="16"/>
    <n v="12000"/>
    <n v="16500"/>
    <x v="57"/>
    <n v="192000"/>
    <n v="72000"/>
    <n v="0.27272727272727271"/>
  </r>
  <r>
    <s v="ORD1215"/>
    <x v="161"/>
    <s v="Customer 50"/>
    <x v="4"/>
    <x v="0"/>
    <x v="0"/>
    <x v="3"/>
    <n v="20"/>
    <n v="400"/>
    <n v="650"/>
    <x v="70"/>
    <n v="8000"/>
    <n v="5000"/>
    <n v="0.38461538461538458"/>
  </r>
  <r>
    <s v="ORD1216"/>
    <x v="162"/>
    <s v="Customer 42"/>
    <x v="3"/>
    <x v="4"/>
    <x v="3"/>
    <x v="5"/>
    <n v="3"/>
    <n v="2800"/>
    <n v="4200"/>
    <x v="123"/>
    <n v="8400"/>
    <n v="4200"/>
    <n v="0.33333333333333331"/>
  </r>
  <r>
    <s v="ORD1217"/>
    <x v="84"/>
    <s v="Customer 30"/>
    <x v="4"/>
    <x v="5"/>
    <x v="0"/>
    <x v="9"/>
    <n v="8"/>
    <n v="2500"/>
    <n v="3600"/>
    <x v="106"/>
    <n v="20000"/>
    <n v="8800"/>
    <n v="0.30555555555555558"/>
  </r>
  <r>
    <s v="ORD1218"/>
    <x v="163"/>
    <s v="Customer 41"/>
    <x v="1"/>
    <x v="1"/>
    <x v="0"/>
    <x v="8"/>
    <n v="19"/>
    <n v="900"/>
    <n v="1500"/>
    <x v="52"/>
    <n v="17100"/>
    <n v="11400"/>
    <n v="0.4"/>
  </r>
  <r>
    <s v="ORD1219"/>
    <x v="160"/>
    <s v="Customer 13"/>
    <x v="4"/>
    <x v="0"/>
    <x v="0"/>
    <x v="6"/>
    <n v="14"/>
    <n v="1800"/>
    <n v="2800"/>
    <x v="124"/>
    <n v="25200"/>
    <n v="14000"/>
    <n v="0.35714285714285721"/>
  </r>
  <r>
    <s v="ORD1220"/>
    <x v="164"/>
    <s v="Customer 26"/>
    <x v="1"/>
    <x v="4"/>
    <x v="0"/>
    <x v="0"/>
    <n v="15"/>
    <n v="1800"/>
    <n v="2600"/>
    <x v="1"/>
    <n v="27000"/>
    <n v="12000"/>
    <n v="0.30769230769230771"/>
  </r>
  <r>
    <s v="ORD1221"/>
    <x v="165"/>
    <s v="Customer 135"/>
    <x v="1"/>
    <x v="0"/>
    <x v="0"/>
    <x v="0"/>
    <n v="5"/>
    <n v="1800"/>
    <n v="2600"/>
    <x v="70"/>
    <n v="9000"/>
    <n v="4000"/>
    <n v="0.30769230769230771"/>
  </r>
  <r>
    <s v="ORD1222"/>
    <x v="122"/>
    <s v="Customer 36"/>
    <x v="2"/>
    <x v="2"/>
    <x v="1"/>
    <x v="2"/>
    <n v="1"/>
    <n v="12000"/>
    <n v="16500"/>
    <x v="2"/>
    <n v="12000"/>
    <n v="4500"/>
    <n v="0.27272727272727271"/>
  </r>
  <r>
    <s v="ORD1223"/>
    <x v="166"/>
    <s v="Customer 140"/>
    <x v="2"/>
    <x v="5"/>
    <x v="0"/>
    <x v="3"/>
    <n v="2"/>
    <n v="400"/>
    <n v="650"/>
    <x v="78"/>
    <n v="800"/>
    <n v="500"/>
    <n v="0.38461538461538458"/>
  </r>
  <r>
    <s v="ORD1224"/>
    <x v="14"/>
    <s v="Customer 129"/>
    <x v="2"/>
    <x v="4"/>
    <x v="0"/>
    <x v="9"/>
    <n v="15"/>
    <n v="2500"/>
    <n v="3600"/>
    <x v="50"/>
    <n v="37500"/>
    <n v="16500"/>
    <n v="0.30555555555555558"/>
  </r>
  <r>
    <s v="ORD1225"/>
    <x v="167"/>
    <s v="Customer 45"/>
    <x v="2"/>
    <x v="5"/>
    <x v="0"/>
    <x v="0"/>
    <n v="18"/>
    <n v="1800"/>
    <n v="2600"/>
    <x v="91"/>
    <n v="32400"/>
    <n v="14400"/>
    <n v="0.30769230769230771"/>
  </r>
  <r>
    <s v="ORD1226"/>
    <x v="168"/>
    <s v="Customer 144"/>
    <x v="0"/>
    <x v="1"/>
    <x v="1"/>
    <x v="1"/>
    <n v="13"/>
    <n v="15000"/>
    <n v="19500"/>
    <x v="71"/>
    <n v="195000"/>
    <n v="58500"/>
    <n v="0.23076923076923081"/>
  </r>
  <r>
    <s v="ORD1227"/>
    <x v="162"/>
    <s v="Customer 102"/>
    <x v="2"/>
    <x v="3"/>
    <x v="1"/>
    <x v="2"/>
    <n v="20"/>
    <n v="12000"/>
    <n v="16500"/>
    <x v="125"/>
    <n v="240000"/>
    <n v="90000"/>
    <n v="0.27272727272727271"/>
  </r>
  <r>
    <s v="ORD1228"/>
    <x v="169"/>
    <s v="Customer 116"/>
    <x v="4"/>
    <x v="1"/>
    <x v="0"/>
    <x v="3"/>
    <n v="17"/>
    <n v="400"/>
    <n v="650"/>
    <x v="49"/>
    <n v="6800"/>
    <n v="4250"/>
    <n v="0.38461538461538458"/>
  </r>
  <r>
    <s v="ORD1229"/>
    <x v="1"/>
    <s v="Customer 17"/>
    <x v="4"/>
    <x v="5"/>
    <x v="2"/>
    <x v="4"/>
    <n v="19"/>
    <n v="8500"/>
    <n v="12000"/>
    <x v="126"/>
    <n v="161500"/>
    <n v="66500"/>
    <n v="0.29166666666666669"/>
  </r>
  <r>
    <s v="ORD1230"/>
    <x v="70"/>
    <s v="Customer 81"/>
    <x v="0"/>
    <x v="1"/>
    <x v="0"/>
    <x v="9"/>
    <n v="18"/>
    <n v="2500"/>
    <n v="3600"/>
    <x v="88"/>
    <n v="45000"/>
    <n v="19800"/>
    <n v="0.30555555555555558"/>
  </r>
  <r>
    <s v="ORD1231"/>
    <x v="170"/>
    <s v="Customer 8"/>
    <x v="4"/>
    <x v="1"/>
    <x v="1"/>
    <x v="7"/>
    <n v="9"/>
    <n v="42000"/>
    <n v="55000"/>
    <x v="73"/>
    <n v="378000"/>
    <n v="117000"/>
    <n v="0.23636363636363639"/>
  </r>
  <r>
    <s v="ORD1232"/>
    <x v="111"/>
    <s v="Customer 96"/>
    <x v="4"/>
    <x v="4"/>
    <x v="0"/>
    <x v="3"/>
    <n v="18"/>
    <n v="400"/>
    <n v="650"/>
    <x v="76"/>
    <n v="7200"/>
    <n v="4500"/>
    <n v="0.38461538461538458"/>
  </r>
  <r>
    <s v="ORD1233"/>
    <x v="153"/>
    <s v="Customer 43"/>
    <x v="0"/>
    <x v="5"/>
    <x v="1"/>
    <x v="2"/>
    <n v="5"/>
    <n v="12000"/>
    <n v="16500"/>
    <x v="67"/>
    <n v="60000"/>
    <n v="22500"/>
    <n v="0.27272727272727271"/>
  </r>
  <r>
    <s v="ORD1234"/>
    <x v="171"/>
    <s v="Customer 10"/>
    <x v="1"/>
    <x v="2"/>
    <x v="1"/>
    <x v="7"/>
    <n v="16"/>
    <n v="42000"/>
    <n v="55000"/>
    <x v="127"/>
    <n v="672000"/>
    <n v="208000"/>
    <n v="0.23636363636363639"/>
  </r>
  <r>
    <s v="ORD1235"/>
    <x v="79"/>
    <s v="Customer 57"/>
    <x v="4"/>
    <x v="1"/>
    <x v="3"/>
    <x v="5"/>
    <n v="7"/>
    <n v="2800"/>
    <n v="4200"/>
    <x v="7"/>
    <n v="19600"/>
    <n v="9800"/>
    <n v="0.33333333333333331"/>
  </r>
  <r>
    <s v="ORD1236"/>
    <x v="172"/>
    <s v="Customer 25"/>
    <x v="1"/>
    <x v="4"/>
    <x v="0"/>
    <x v="9"/>
    <n v="19"/>
    <n v="2500"/>
    <n v="3600"/>
    <x v="128"/>
    <n v="47500"/>
    <n v="20900"/>
    <n v="0.30555555555555558"/>
  </r>
  <r>
    <s v="ORD1237"/>
    <x v="173"/>
    <s v="Customer 100"/>
    <x v="4"/>
    <x v="5"/>
    <x v="0"/>
    <x v="9"/>
    <n v="9"/>
    <n v="2500"/>
    <n v="3600"/>
    <x v="35"/>
    <n v="22500"/>
    <n v="9900"/>
    <n v="0.30555555555555558"/>
  </r>
  <r>
    <s v="ORD1238"/>
    <x v="174"/>
    <s v="Customer 60"/>
    <x v="0"/>
    <x v="5"/>
    <x v="0"/>
    <x v="8"/>
    <n v="9"/>
    <n v="900"/>
    <n v="1500"/>
    <x v="129"/>
    <n v="8100"/>
    <n v="5400"/>
    <n v="0.4"/>
  </r>
  <r>
    <s v="ORD1239"/>
    <x v="167"/>
    <s v="Customer 27"/>
    <x v="2"/>
    <x v="5"/>
    <x v="0"/>
    <x v="6"/>
    <n v="7"/>
    <n v="1800"/>
    <n v="2800"/>
    <x v="130"/>
    <n v="12600"/>
    <n v="7000"/>
    <n v="0.35714285714285721"/>
  </r>
  <r>
    <s v="ORD1240"/>
    <x v="50"/>
    <s v="Customer 124"/>
    <x v="4"/>
    <x v="2"/>
    <x v="1"/>
    <x v="2"/>
    <n v="6"/>
    <n v="12000"/>
    <n v="16500"/>
    <x v="99"/>
    <n v="72000"/>
    <n v="27000"/>
    <n v="0.27272727272727271"/>
  </r>
  <r>
    <s v="ORD1241"/>
    <x v="50"/>
    <s v="Customer 91"/>
    <x v="3"/>
    <x v="0"/>
    <x v="1"/>
    <x v="2"/>
    <n v="19"/>
    <n v="12000"/>
    <n v="16500"/>
    <x v="26"/>
    <n v="228000"/>
    <n v="85500"/>
    <n v="0.27272727272727271"/>
  </r>
  <r>
    <s v="ORD1242"/>
    <x v="175"/>
    <s v="Customer 77"/>
    <x v="2"/>
    <x v="2"/>
    <x v="1"/>
    <x v="2"/>
    <n v="13"/>
    <n v="12000"/>
    <n v="16500"/>
    <x v="95"/>
    <n v="156000"/>
    <n v="58500"/>
    <n v="0.27272727272727271"/>
  </r>
  <r>
    <s v="ORD1243"/>
    <x v="176"/>
    <s v="Customer 17"/>
    <x v="4"/>
    <x v="1"/>
    <x v="1"/>
    <x v="7"/>
    <n v="5"/>
    <n v="42000"/>
    <n v="55000"/>
    <x v="97"/>
    <n v="210000"/>
    <n v="65000"/>
    <n v="0.23636363636363639"/>
  </r>
  <r>
    <s v="ORD1244"/>
    <x v="92"/>
    <s v="Customer 56"/>
    <x v="0"/>
    <x v="1"/>
    <x v="0"/>
    <x v="9"/>
    <n v="13"/>
    <n v="2500"/>
    <n v="3600"/>
    <x v="91"/>
    <n v="32500"/>
    <n v="14300"/>
    <n v="0.30555555555555558"/>
  </r>
  <r>
    <s v="ORD1245"/>
    <x v="177"/>
    <s v="Customer 128"/>
    <x v="3"/>
    <x v="1"/>
    <x v="3"/>
    <x v="5"/>
    <n v="18"/>
    <n v="2800"/>
    <n v="4200"/>
    <x v="101"/>
    <n v="50400"/>
    <n v="25200"/>
    <n v="0.33333333333333331"/>
  </r>
  <r>
    <s v="ORD1246"/>
    <x v="178"/>
    <s v="Customer 26"/>
    <x v="4"/>
    <x v="3"/>
    <x v="0"/>
    <x v="0"/>
    <n v="11"/>
    <n v="1800"/>
    <n v="2600"/>
    <x v="3"/>
    <n v="19800"/>
    <n v="8800"/>
    <n v="0.30769230769230771"/>
  </r>
  <r>
    <s v="ORD1247"/>
    <x v="179"/>
    <s v="Customer 150"/>
    <x v="0"/>
    <x v="5"/>
    <x v="0"/>
    <x v="9"/>
    <n v="18"/>
    <n v="2500"/>
    <n v="3600"/>
    <x v="88"/>
    <n v="45000"/>
    <n v="19800"/>
    <n v="0.30555555555555558"/>
  </r>
  <r>
    <s v="ORD1248"/>
    <x v="109"/>
    <s v="Customer 11"/>
    <x v="0"/>
    <x v="1"/>
    <x v="1"/>
    <x v="7"/>
    <n v="16"/>
    <n v="42000"/>
    <n v="55000"/>
    <x v="127"/>
    <n v="672000"/>
    <n v="208000"/>
    <n v="0.23636363636363639"/>
  </r>
  <r>
    <s v="ORD1249"/>
    <x v="180"/>
    <s v="Customer 70"/>
    <x v="1"/>
    <x v="2"/>
    <x v="0"/>
    <x v="6"/>
    <n v="9"/>
    <n v="1800"/>
    <n v="2800"/>
    <x v="33"/>
    <n v="16200"/>
    <n v="9000"/>
    <n v="0.35714285714285721"/>
  </r>
  <r>
    <s v="ORD1250"/>
    <x v="181"/>
    <s v="Customer 112"/>
    <x v="4"/>
    <x v="1"/>
    <x v="0"/>
    <x v="8"/>
    <n v="6"/>
    <n v="900"/>
    <n v="1500"/>
    <x v="62"/>
    <n v="5400"/>
    <n v="3600"/>
    <n v="0.4"/>
  </r>
  <r>
    <s v="ORD1251"/>
    <x v="121"/>
    <s v="Customer 119"/>
    <x v="4"/>
    <x v="1"/>
    <x v="1"/>
    <x v="7"/>
    <n v="9"/>
    <n v="42000"/>
    <n v="55000"/>
    <x v="73"/>
    <n v="378000"/>
    <n v="117000"/>
    <n v="0.23636363636363639"/>
  </r>
  <r>
    <s v="ORD1252"/>
    <x v="181"/>
    <s v="Customer 47"/>
    <x v="4"/>
    <x v="2"/>
    <x v="0"/>
    <x v="6"/>
    <n v="17"/>
    <n v="1800"/>
    <n v="2800"/>
    <x v="107"/>
    <n v="30600"/>
    <n v="17000"/>
    <n v="0.35714285714285721"/>
  </r>
  <r>
    <s v="ORD1253"/>
    <x v="68"/>
    <s v="Customer 75"/>
    <x v="2"/>
    <x v="3"/>
    <x v="0"/>
    <x v="0"/>
    <n v="15"/>
    <n v="1800"/>
    <n v="2600"/>
    <x v="1"/>
    <n v="27000"/>
    <n v="12000"/>
    <n v="0.30769230769230771"/>
  </r>
  <r>
    <s v="ORD1254"/>
    <x v="74"/>
    <s v="Customer 16"/>
    <x v="3"/>
    <x v="1"/>
    <x v="0"/>
    <x v="6"/>
    <n v="17"/>
    <n v="1800"/>
    <n v="2800"/>
    <x v="107"/>
    <n v="30600"/>
    <n v="17000"/>
    <n v="0.35714285714285721"/>
  </r>
  <r>
    <s v="ORD1255"/>
    <x v="57"/>
    <s v="Customer 88"/>
    <x v="3"/>
    <x v="5"/>
    <x v="1"/>
    <x v="2"/>
    <n v="10"/>
    <n v="12000"/>
    <n v="16500"/>
    <x v="13"/>
    <n v="120000"/>
    <n v="45000"/>
    <n v="0.27272727272727271"/>
  </r>
  <r>
    <s v="ORD1256"/>
    <x v="182"/>
    <s v="Customer 1"/>
    <x v="0"/>
    <x v="3"/>
    <x v="0"/>
    <x v="0"/>
    <n v="2"/>
    <n v="1800"/>
    <n v="2600"/>
    <x v="131"/>
    <n v="3600"/>
    <n v="1600"/>
    <n v="0.30769230769230771"/>
  </r>
  <r>
    <s v="ORD1257"/>
    <x v="166"/>
    <s v="Customer 53"/>
    <x v="4"/>
    <x v="3"/>
    <x v="0"/>
    <x v="9"/>
    <n v="1"/>
    <n v="2500"/>
    <n v="3600"/>
    <x v="63"/>
    <n v="2500"/>
    <n v="1100"/>
    <n v="0.30555555555555558"/>
  </r>
  <r>
    <s v="ORD1258"/>
    <x v="84"/>
    <s v="Customer 18"/>
    <x v="3"/>
    <x v="4"/>
    <x v="0"/>
    <x v="0"/>
    <n v="17"/>
    <n v="1800"/>
    <n v="2600"/>
    <x v="132"/>
    <n v="30600"/>
    <n v="13600"/>
    <n v="0.30769230769230771"/>
  </r>
  <r>
    <s v="ORD1259"/>
    <x v="6"/>
    <s v="Customer 83"/>
    <x v="0"/>
    <x v="1"/>
    <x v="0"/>
    <x v="3"/>
    <n v="4"/>
    <n v="400"/>
    <n v="650"/>
    <x v="18"/>
    <n v="1600"/>
    <n v="1000"/>
    <n v="0.38461538461538458"/>
  </r>
  <r>
    <s v="ORD1260"/>
    <x v="89"/>
    <s v="Customer 14"/>
    <x v="0"/>
    <x v="4"/>
    <x v="3"/>
    <x v="5"/>
    <n v="14"/>
    <n v="2800"/>
    <n v="4200"/>
    <x v="133"/>
    <n v="39200"/>
    <n v="19600"/>
    <n v="0.33333333333333331"/>
  </r>
  <r>
    <s v="ORD1261"/>
    <x v="183"/>
    <s v="Customer 79"/>
    <x v="1"/>
    <x v="5"/>
    <x v="2"/>
    <x v="4"/>
    <n v="3"/>
    <n v="8500"/>
    <n v="12000"/>
    <x v="25"/>
    <n v="25500"/>
    <n v="10500"/>
    <n v="0.29166666666666669"/>
  </r>
  <r>
    <s v="ORD1262"/>
    <x v="184"/>
    <s v="Customer 136"/>
    <x v="4"/>
    <x v="2"/>
    <x v="1"/>
    <x v="7"/>
    <n v="9"/>
    <n v="42000"/>
    <n v="55000"/>
    <x v="73"/>
    <n v="378000"/>
    <n v="117000"/>
    <n v="0.23636363636363639"/>
  </r>
  <r>
    <s v="ORD1263"/>
    <x v="137"/>
    <s v="Customer 101"/>
    <x v="0"/>
    <x v="2"/>
    <x v="1"/>
    <x v="1"/>
    <n v="16"/>
    <n v="15000"/>
    <n v="19500"/>
    <x v="104"/>
    <n v="240000"/>
    <n v="72000"/>
    <n v="0.23076923076923081"/>
  </r>
  <r>
    <s v="ORD1264"/>
    <x v="185"/>
    <s v="Customer 138"/>
    <x v="1"/>
    <x v="1"/>
    <x v="0"/>
    <x v="0"/>
    <n v="3"/>
    <n v="1800"/>
    <n v="2600"/>
    <x v="60"/>
    <n v="5400"/>
    <n v="2400"/>
    <n v="0.30769230769230771"/>
  </r>
  <r>
    <s v="ORD1265"/>
    <x v="174"/>
    <s v="Customer 93"/>
    <x v="2"/>
    <x v="5"/>
    <x v="1"/>
    <x v="1"/>
    <n v="11"/>
    <n v="15000"/>
    <n v="19500"/>
    <x v="95"/>
    <n v="165000"/>
    <n v="49500"/>
    <n v="0.23076923076923081"/>
  </r>
  <r>
    <s v="ORD1266"/>
    <x v="186"/>
    <s v="Customer 41"/>
    <x v="2"/>
    <x v="2"/>
    <x v="3"/>
    <x v="5"/>
    <n v="14"/>
    <n v="2800"/>
    <n v="4200"/>
    <x v="133"/>
    <n v="39200"/>
    <n v="19600"/>
    <n v="0.33333333333333331"/>
  </r>
  <r>
    <s v="ORD1267"/>
    <x v="144"/>
    <s v="Customer 54"/>
    <x v="3"/>
    <x v="4"/>
    <x v="1"/>
    <x v="7"/>
    <n v="13"/>
    <n v="42000"/>
    <n v="55000"/>
    <x v="134"/>
    <n v="546000"/>
    <n v="169000"/>
    <n v="0.23636363636363639"/>
  </r>
  <r>
    <s v="ORD1268"/>
    <x v="187"/>
    <s v="Customer 39"/>
    <x v="3"/>
    <x v="5"/>
    <x v="0"/>
    <x v="3"/>
    <n v="18"/>
    <n v="400"/>
    <n v="650"/>
    <x v="76"/>
    <n v="7200"/>
    <n v="4500"/>
    <n v="0.38461538461538458"/>
  </r>
  <r>
    <s v="ORD1269"/>
    <x v="188"/>
    <s v="Customer 12"/>
    <x v="3"/>
    <x v="5"/>
    <x v="0"/>
    <x v="8"/>
    <n v="15"/>
    <n v="900"/>
    <n v="1500"/>
    <x v="21"/>
    <n v="13500"/>
    <n v="9000"/>
    <n v="0.4"/>
  </r>
  <r>
    <s v="ORD1270"/>
    <x v="189"/>
    <s v="Customer 139"/>
    <x v="0"/>
    <x v="4"/>
    <x v="0"/>
    <x v="9"/>
    <n v="3"/>
    <n v="2500"/>
    <n v="3600"/>
    <x v="135"/>
    <n v="7500"/>
    <n v="3300"/>
    <n v="0.30555555555555558"/>
  </r>
  <r>
    <s v="ORD1271"/>
    <x v="173"/>
    <s v="Customer 68"/>
    <x v="1"/>
    <x v="0"/>
    <x v="0"/>
    <x v="0"/>
    <n v="2"/>
    <n v="1800"/>
    <n v="2600"/>
    <x v="131"/>
    <n v="3600"/>
    <n v="1600"/>
    <n v="0.30769230769230771"/>
  </r>
  <r>
    <s v="ORD1272"/>
    <x v="190"/>
    <s v="Customer 34"/>
    <x v="4"/>
    <x v="5"/>
    <x v="1"/>
    <x v="7"/>
    <n v="1"/>
    <n v="42000"/>
    <n v="55000"/>
    <x v="89"/>
    <n v="42000"/>
    <n v="13000"/>
    <n v="0.23636363636363639"/>
  </r>
  <r>
    <s v="ORD1273"/>
    <x v="191"/>
    <s v="Customer 56"/>
    <x v="2"/>
    <x v="1"/>
    <x v="0"/>
    <x v="8"/>
    <n v="9"/>
    <n v="900"/>
    <n v="1500"/>
    <x v="129"/>
    <n v="8100"/>
    <n v="5400"/>
    <n v="0.4"/>
  </r>
  <r>
    <s v="ORD1274"/>
    <x v="192"/>
    <s v="Customer 28"/>
    <x v="4"/>
    <x v="3"/>
    <x v="0"/>
    <x v="8"/>
    <n v="14"/>
    <n v="900"/>
    <n v="1500"/>
    <x v="41"/>
    <n v="12600"/>
    <n v="8400"/>
    <n v="0.4"/>
  </r>
  <r>
    <s v="ORD1275"/>
    <x v="193"/>
    <s v="Customer 15"/>
    <x v="1"/>
    <x v="3"/>
    <x v="0"/>
    <x v="3"/>
    <n v="3"/>
    <n v="400"/>
    <n v="650"/>
    <x v="136"/>
    <n v="1200"/>
    <n v="750"/>
    <n v="0.38461538461538458"/>
  </r>
  <r>
    <s v="ORD1276"/>
    <x v="140"/>
    <s v="Customer 108"/>
    <x v="3"/>
    <x v="2"/>
    <x v="0"/>
    <x v="6"/>
    <n v="12"/>
    <n v="1800"/>
    <n v="2800"/>
    <x v="100"/>
    <n v="21600"/>
    <n v="12000"/>
    <n v="0.35714285714285721"/>
  </r>
  <r>
    <s v="ORD1277"/>
    <x v="31"/>
    <s v="Customer 99"/>
    <x v="4"/>
    <x v="3"/>
    <x v="1"/>
    <x v="7"/>
    <n v="2"/>
    <n v="42000"/>
    <n v="55000"/>
    <x v="16"/>
    <n v="84000"/>
    <n v="26000"/>
    <n v="0.23636363636363639"/>
  </r>
  <r>
    <s v="ORD1278"/>
    <x v="194"/>
    <s v="Customer 147"/>
    <x v="3"/>
    <x v="4"/>
    <x v="3"/>
    <x v="5"/>
    <n v="17"/>
    <n v="2800"/>
    <n v="4200"/>
    <x v="137"/>
    <n v="47600"/>
    <n v="23800"/>
    <n v="0.33333333333333331"/>
  </r>
  <r>
    <s v="ORD1279"/>
    <x v="195"/>
    <s v="Customer 27"/>
    <x v="2"/>
    <x v="3"/>
    <x v="0"/>
    <x v="0"/>
    <n v="19"/>
    <n v="1800"/>
    <n v="2600"/>
    <x v="8"/>
    <n v="34200"/>
    <n v="15200"/>
    <n v="0.30769230769230771"/>
  </r>
  <r>
    <s v="ORD1280"/>
    <x v="90"/>
    <s v="Customer 5"/>
    <x v="0"/>
    <x v="0"/>
    <x v="0"/>
    <x v="8"/>
    <n v="12"/>
    <n v="900"/>
    <n v="1500"/>
    <x v="96"/>
    <n v="10800"/>
    <n v="7200"/>
    <n v="0.4"/>
  </r>
  <r>
    <s v="ORD1281"/>
    <x v="42"/>
    <s v="Customer 57"/>
    <x v="4"/>
    <x v="4"/>
    <x v="2"/>
    <x v="4"/>
    <n v="19"/>
    <n v="8500"/>
    <n v="12000"/>
    <x v="126"/>
    <n v="161500"/>
    <n v="66500"/>
    <n v="0.29166666666666669"/>
  </r>
  <r>
    <s v="ORD1282"/>
    <x v="119"/>
    <s v="Customer 139"/>
    <x v="2"/>
    <x v="5"/>
    <x v="3"/>
    <x v="5"/>
    <n v="3"/>
    <n v="2800"/>
    <n v="4200"/>
    <x v="123"/>
    <n v="8400"/>
    <n v="4200"/>
    <n v="0.33333333333333331"/>
  </r>
  <r>
    <s v="ORD1283"/>
    <x v="196"/>
    <s v="Customer 79"/>
    <x v="1"/>
    <x v="2"/>
    <x v="2"/>
    <x v="4"/>
    <n v="15"/>
    <n v="8500"/>
    <n v="12000"/>
    <x v="138"/>
    <n v="127500"/>
    <n v="52500"/>
    <n v="0.29166666666666669"/>
  </r>
  <r>
    <s v="ORD1284"/>
    <x v="90"/>
    <s v="Customer 40"/>
    <x v="3"/>
    <x v="3"/>
    <x v="0"/>
    <x v="6"/>
    <n v="11"/>
    <n v="1800"/>
    <n v="2800"/>
    <x v="118"/>
    <n v="19800"/>
    <n v="11000"/>
    <n v="0.35714285714285721"/>
  </r>
  <r>
    <s v="ORD1285"/>
    <x v="197"/>
    <s v="Customer 144"/>
    <x v="1"/>
    <x v="1"/>
    <x v="0"/>
    <x v="3"/>
    <n v="3"/>
    <n v="400"/>
    <n v="650"/>
    <x v="136"/>
    <n v="1200"/>
    <n v="750"/>
    <n v="0.38461538461538458"/>
  </r>
  <r>
    <s v="ORD1286"/>
    <x v="175"/>
    <s v="Customer 48"/>
    <x v="2"/>
    <x v="3"/>
    <x v="1"/>
    <x v="7"/>
    <n v="14"/>
    <n v="42000"/>
    <n v="55000"/>
    <x v="40"/>
    <n v="588000"/>
    <n v="182000"/>
    <n v="0.23636363636363639"/>
  </r>
  <r>
    <s v="ORD1287"/>
    <x v="113"/>
    <s v="Customer 20"/>
    <x v="1"/>
    <x v="1"/>
    <x v="1"/>
    <x v="2"/>
    <n v="11"/>
    <n v="12000"/>
    <n v="16500"/>
    <x v="11"/>
    <n v="132000"/>
    <n v="49500"/>
    <n v="0.27272727272727271"/>
  </r>
  <r>
    <s v="ORD1288"/>
    <x v="198"/>
    <s v="Customer 75"/>
    <x v="3"/>
    <x v="1"/>
    <x v="0"/>
    <x v="8"/>
    <n v="7"/>
    <n v="900"/>
    <n v="1500"/>
    <x v="17"/>
    <n v="6300"/>
    <n v="4200"/>
    <n v="0.4"/>
  </r>
  <r>
    <s v="ORD1289"/>
    <x v="122"/>
    <s v="Customer 125"/>
    <x v="1"/>
    <x v="5"/>
    <x v="1"/>
    <x v="7"/>
    <n v="3"/>
    <n v="42000"/>
    <n v="55000"/>
    <x v="13"/>
    <n v="126000"/>
    <n v="39000"/>
    <n v="0.23636363636363639"/>
  </r>
  <r>
    <s v="ORD1290"/>
    <x v="9"/>
    <s v="Customer 30"/>
    <x v="4"/>
    <x v="5"/>
    <x v="0"/>
    <x v="9"/>
    <n v="20"/>
    <n v="2500"/>
    <n v="3600"/>
    <x v="122"/>
    <n v="50000"/>
    <n v="22000"/>
    <n v="0.30555555555555558"/>
  </r>
  <r>
    <s v="ORD1291"/>
    <x v="199"/>
    <s v="Customer 84"/>
    <x v="2"/>
    <x v="0"/>
    <x v="0"/>
    <x v="8"/>
    <n v="5"/>
    <n v="900"/>
    <n v="1500"/>
    <x v="80"/>
    <n v="4500"/>
    <n v="3000"/>
    <n v="0.4"/>
  </r>
  <r>
    <s v="ORD1292"/>
    <x v="140"/>
    <s v="Customer 10"/>
    <x v="1"/>
    <x v="1"/>
    <x v="2"/>
    <x v="4"/>
    <n v="14"/>
    <n v="8500"/>
    <n v="12000"/>
    <x v="116"/>
    <n v="119000"/>
    <n v="49000"/>
    <n v="0.29166666666666669"/>
  </r>
  <r>
    <s v="ORD1293"/>
    <x v="162"/>
    <s v="Customer 133"/>
    <x v="2"/>
    <x v="2"/>
    <x v="1"/>
    <x v="1"/>
    <n v="10"/>
    <n v="15000"/>
    <n v="19500"/>
    <x v="68"/>
    <n v="150000"/>
    <n v="45000"/>
    <n v="0.23076923076923081"/>
  </r>
  <r>
    <s v="ORD1294"/>
    <x v="200"/>
    <s v="Customer 31"/>
    <x v="2"/>
    <x v="1"/>
    <x v="1"/>
    <x v="2"/>
    <n v="7"/>
    <n v="12000"/>
    <n v="16500"/>
    <x v="139"/>
    <n v="84000"/>
    <n v="31500"/>
    <n v="0.27272727272727271"/>
  </r>
  <r>
    <s v="ORD1295"/>
    <x v="201"/>
    <s v="Customer 86"/>
    <x v="1"/>
    <x v="5"/>
    <x v="2"/>
    <x v="4"/>
    <n v="19"/>
    <n v="8500"/>
    <n v="12000"/>
    <x v="126"/>
    <n v="161500"/>
    <n v="66500"/>
    <n v="0.29166666666666669"/>
  </r>
  <r>
    <s v="ORD1296"/>
    <x v="202"/>
    <s v="Customer 13"/>
    <x v="3"/>
    <x v="2"/>
    <x v="1"/>
    <x v="7"/>
    <n v="12"/>
    <n v="42000"/>
    <n v="55000"/>
    <x v="140"/>
    <n v="504000"/>
    <n v="156000"/>
    <n v="0.23636363636363639"/>
  </r>
  <r>
    <s v="ORD1297"/>
    <x v="51"/>
    <s v="Customer 118"/>
    <x v="3"/>
    <x v="2"/>
    <x v="1"/>
    <x v="7"/>
    <n v="14"/>
    <n v="42000"/>
    <n v="55000"/>
    <x v="40"/>
    <n v="588000"/>
    <n v="182000"/>
    <n v="0.23636363636363639"/>
  </r>
  <r>
    <s v="ORD1298"/>
    <x v="203"/>
    <s v="Customer 134"/>
    <x v="3"/>
    <x v="0"/>
    <x v="0"/>
    <x v="0"/>
    <n v="15"/>
    <n v="1800"/>
    <n v="2600"/>
    <x v="1"/>
    <n v="27000"/>
    <n v="12000"/>
    <n v="0.30769230769230771"/>
  </r>
  <r>
    <s v="ORD1299"/>
    <x v="204"/>
    <s v="Customer 120"/>
    <x v="2"/>
    <x v="1"/>
    <x v="0"/>
    <x v="3"/>
    <n v="10"/>
    <n v="400"/>
    <n v="650"/>
    <x v="141"/>
    <n v="4000"/>
    <n v="2500"/>
    <n v="0.38461538461538458"/>
  </r>
  <r>
    <s v="ORD1300"/>
    <x v="106"/>
    <s v="Customer 91"/>
    <x v="1"/>
    <x v="0"/>
    <x v="0"/>
    <x v="0"/>
    <n v="20"/>
    <n v="1800"/>
    <n v="2600"/>
    <x v="142"/>
    <n v="36000"/>
    <n v="16000"/>
    <n v="0.30769230769230771"/>
  </r>
  <r>
    <s v="ORD1301"/>
    <x v="205"/>
    <s v="Customer 62"/>
    <x v="3"/>
    <x v="0"/>
    <x v="0"/>
    <x v="9"/>
    <n v="2"/>
    <n v="2500"/>
    <n v="3600"/>
    <x v="45"/>
    <n v="5000"/>
    <n v="2200"/>
    <n v="0.30555555555555558"/>
  </r>
  <r>
    <s v="ORD1302"/>
    <x v="167"/>
    <s v="Customer 71"/>
    <x v="4"/>
    <x v="2"/>
    <x v="0"/>
    <x v="9"/>
    <n v="16"/>
    <n v="2500"/>
    <n v="3600"/>
    <x v="143"/>
    <n v="40000"/>
    <n v="17600"/>
    <n v="0.30555555555555558"/>
  </r>
  <r>
    <s v="ORD1303"/>
    <x v="125"/>
    <s v="Customer 114"/>
    <x v="3"/>
    <x v="5"/>
    <x v="2"/>
    <x v="4"/>
    <n v="13"/>
    <n v="8500"/>
    <n v="12000"/>
    <x v="121"/>
    <n v="110500"/>
    <n v="45500"/>
    <n v="0.29166666666666669"/>
  </r>
  <r>
    <s v="ORD1304"/>
    <x v="206"/>
    <s v="Customer 11"/>
    <x v="3"/>
    <x v="5"/>
    <x v="0"/>
    <x v="3"/>
    <n v="15"/>
    <n v="400"/>
    <n v="650"/>
    <x v="9"/>
    <n v="6000"/>
    <n v="3750"/>
    <n v="0.38461538461538458"/>
  </r>
  <r>
    <s v="ORD1305"/>
    <x v="207"/>
    <s v="Customer 84"/>
    <x v="0"/>
    <x v="3"/>
    <x v="0"/>
    <x v="6"/>
    <n v="8"/>
    <n v="1800"/>
    <n v="2800"/>
    <x v="36"/>
    <n v="14400"/>
    <n v="8000"/>
    <n v="0.35714285714285721"/>
  </r>
  <r>
    <s v="ORD1306"/>
    <x v="45"/>
    <s v="Customer 15"/>
    <x v="1"/>
    <x v="3"/>
    <x v="1"/>
    <x v="2"/>
    <n v="14"/>
    <n v="12000"/>
    <n v="16500"/>
    <x v="115"/>
    <n v="168000"/>
    <n v="63000"/>
    <n v="0.27272727272727271"/>
  </r>
  <r>
    <s v="ORD1307"/>
    <x v="208"/>
    <s v="Customer 75"/>
    <x v="0"/>
    <x v="3"/>
    <x v="0"/>
    <x v="3"/>
    <n v="14"/>
    <n v="400"/>
    <n v="650"/>
    <x v="69"/>
    <n v="5600"/>
    <n v="3500"/>
    <n v="0.38461538461538458"/>
  </r>
  <r>
    <s v="ORD1308"/>
    <x v="27"/>
    <s v="Customer 54"/>
    <x v="0"/>
    <x v="4"/>
    <x v="0"/>
    <x v="6"/>
    <n v="3"/>
    <n v="1800"/>
    <n v="2800"/>
    <x v="46"/>
    <n v="5400"/>
    <n v="3000"/>
    <n v="0.35714285714285721"/>
  </r>
  <r>
    <s v="ORD1309"/>
    <x v="94"/>
    <s v="Customer 115"/>
    <x v="0"/>
    <x v="2"/>
    <x v="3"/>
    <x v="5"/>
    <n v="3"/>
    <n v="2800"/>
    <n v="4200"/>
    <x v="123"/>
    <n v="8400"/>
    <n v="4200"/>
    <n v="0.33333333333333331"/>
  </r>
  <r>
    <s v="ORD1310"/>
    <x v="17"/>
    <s v="Customer 32"/>
    <x v="1"/>
    <x v="5"/>
    <x v="3"/>
    <x v="5"/>
    <n v="9"/>
    <n v="2800"/>
    <n v="4200"/>
    <x v="144"/>
    <n v="25200"/>
    <n v="12600"/>
    <n v="0.33333333333333331"/>
  </r>
  <r>
    <s v="ORD1311"/>
    <x v="86"/>
    <s v="Customer 84"/>
    <x v="3"/>
    <x v="1"/>
    <x v="1"/>
    <x v="1"/>
    <n v="17"/>
    <n v="15000"/>
    <n v="19500"/>
    <x v="113"/>
    <n v="255000"/>
    <n v="76500"/>
    <n v="0.23076923076923081"/>
  </r>
  <r>
    <s v="ORD1312"/>
    <x v="209"/>
    <s v="Customer 101"/>
    <x v="2"/>
    <x v="4"/>
    <x v="0"/>
    <x v="9"/>
    <n v="12"/>
    <n v="2500"/>
    <n v="3600"/>
    <x v="19"/>
    <n v="30000"/>
    <n v="13200"/>
    <n v="0.30555555555555558"/>
  </r>
  <r>
    <s v="ORD1313"/>
    <x v="116"/>
    <s v="Customer 8"/>
    <x v="0"/>
    <x v="3"/>
    <x v="2"/>
    <x v="4"/>
    <n v="20"/>
    <n v="8500"/>
    <n v="12000"/>
    <x v="39"/>
    <n v="170000"/>
    <n v="70000"/>
    <n v="0.29166666666666669"/>
  </r>
  <r>
    <s v="ORD1314"/>
    <x v="198"/>
    <s v="Customer 25"/>
    <x v="4"/>
    <x v="3"/>
    <x v="1"/>
    <x v="7"/>
    <n v="16"/>
    <n v="42000"/>
    <n v="55000"/>
    <x v="127"/>
    <n v="672000"/>
    <n v="208000"/>
    <n v="0.23636363636363639"/>
  </r>
  <r>
    <s v="ORD1315"/>
    <x v="127"/>
    <s v="Customer 70"/>
    <x v="3"/>
    <x v="2"/>
    <x v="1"/>
    <x v="7"/>
    <n v="1"/>
    <n v="42000"/>
    <n v="55000"/>
    <x v="89"/>
    <n v="42000"/>
    <n v="13000"/>
    <n v="0.23636363636363639"/>
  </r>
  <r>
    <s v="ORD1316"/>
    <x v="210"/>
    <s v="Customer 5"/>
    <x v="3"/>
    <x v="4"/>
    <x v="1"/>
    <x v="2"/>
    <n v="6"/>
    <n v="12000"/>
    <n v="16500"/>
    <x v="99"/>
    <n v="72000"/>
    <n v="27000"/>
    <n v="0.27272727272727271"/>
  </r>
  <r>
    <s v="ORD1317"/>
    <x v="16"/>
    <s v="Customer 33"/>
    <x v="1"/>
    <x v="1"/>
    <x v="0"/>
    <x v="6"/>
    <n v="9"/>
    <n v="1800"/>
    <n v="2800"/>
    <x v="33"/>
    <n v="16200"/>
    <n v="9000"/>
    <n v="0.35714285714285721"/>
  </r>
  <r>
    <s v="ORD1318"/>
    <x v="211"/>
    <s v="Customer 114"/>
    <x v="0"/>
    <x v="1"/>
    <x v="3"/>
    <x v="5"/>
    <n v="17"/>
    <n v="2800"/>
    <n v="4200"/>
    <x v="137"/>
    <n v="47600"/>
    <n v="23800"/>
    <n v="0.33333333333333331"/>
  </r>
  <r>
    <s v="ORD1319"/>
    <x v="212"/>
    <s v="Customer 150"/>
    <x v="3"/>
    <x v="5"/>
    <x v="0"/>
    <x v="3"/>
    <n v="1"/>
    <n v="400"/>
    <n v="650"/>
    <x v="84"/>
    <n v="400"/>
    <n v="250"/>
    <n v="0.38461538461538458"/>
  </r>
  <r>
    <s v="ORD1320"/>
    <x v="99"/>
    <s v="Customer 59"/>
    <x v="3"/>
    <x v="1"/>
    <x v="0"/>
    <x v="8"/>
    <n v="1"/>
    <n v="900"/>
    <n v="1500"/>
    <x v="34"/>
    <n v="900"/>
    <n v="600"/>
    <n v="0.4"/>
  </r>
  <r>
    <s v="ORD1321"/>
    <x v="132"/>
    <s v="Customer 144"/>
    <x v="1"/>
    <x v="0"/>
    <x v="0"/>
    <x v="0"/>
    <n v="16"/>
    <n v="1800"/>
    <n v="2600"/>
    <x v="0"/>
    <n v="28800"/>
    <n v="12800"/>
    <n v="0.30769230769230771"/>
  </r>
  <r>
    <s v="ORD1322"/>
    <x v="213"/>
    <s v="Customer 130"/>
    <x v="2"/>
    <x v="0"/>
    <x v="1"/>
    <x v="7"/>
    <n v="13"/>
    <n v="42000"/>
    <n v="55000"/>
    <x v="134"/>
    <n v="546000"/>
    <n v="169000"/>
    <n v="0.23636363636363639"/>
  </r>
  <r>
    <s v="ORD1323"/>
    <x v="12"/>
    <s v="Customer 119"/>
    <x v="2"/>
    <x v="5"/>
    <x v="1"/>
    <x v="2"/>
    <n v="5"/>
    <n v="12000"/>
    <n v="16500"/>
    <x v="67"/>
    <n v="60000"/>
    <n v="22500"/>
    <n v="0.27272727272727271"/>
  </r>
  <r>
    <s v="ORD1324"/>
    <x v="214"/>
    <s v="Customer 119"/>
    <x v="3"/>
    <x v="2"/>
    <x v="0"/>
    <x v="9"/>
    <n v="3"/>
    <n v="2500"/>
    <n v="3600"/>
    <x v="135"/>
    <n v="7500"/>
    <n v="3300"/>
    <n v="0.30555555555555558"/>
  </r>
  <r>
    <s v="ORD1325"/>
    <x v="215"/>
    <s v="Customer 43"/>
    <x v="3"/>
    <x v="4"/>
    <x v="1"/>
    <x v="1"/>
    <n v="5"/>
    <n v="15000"/>
    <n v="19500"/>
    <x v="23"/>
    <n v="75000"/>
    <n v="22500"/>
    <n v="0.23076923076923081"/>
  </r>
  <r>
    <s v="ORD1326"/>
    <x v="216"/>
    <s v="Customer 122"/>
    <x v="0"/>
    <x v="2"/>
    <x v="1"/>
    <x v="2"/>
    <n v="20"/>
    <n v="12000"/>
    <n v="16500"/>
    <x v="125"/>
    <n v="240000"/>
    <n v="90000"/>
    <n v="0.27272727272727271"/>
  </r>
  <r>
    <s v="ORD1327"/>
    <x v="207"/>
    <s v="Customer 48"/>
    <x v="3"/>
    <x v="3"/>
    <x v="0"/>
    <x v="6"/>
    <n v="5"/>
    <n v="1800"/>
    <n v="2800"/>
    <x v="29"/>
    <n v="9000"/>
    <n v="5000"/>
    <n v="0.35714285714285721"/>
  </r>
  <r>
    <s v="ORD1328"/>
    <x v="217"/>
    <s v="Customer 70"/>
    <x v="4"/>
    <x v="1"/>
    <x v="2"/>
    <x v="4"/>
    <n v="8"/>
    <n v="8500"/>
    <n v="12000"/>
    <x v="6"/>
    <n v="68000"/>
    <n v="28000"/>
    <n v="0.29166666666666669"/>
  </r>
  <r>
    <s v="ORD1329"/>
    <x v="124"/>
    <s v="Customer 147"/>
    <x v="3"/>
    <x v="3"/>
    <x v="0"/>
    <x v="8"/>
    <n v="3"/>
    <n v="900"/>
    <n v="1500"/>
    <x v="109"/>
    <n v="2700"/>
    <n v="1800"/>
    <n v="0.4"/>
  </r>
  <r>
    <s v="ORD1330"/>
    <x v="218"/>
    <s v="Customer 32"/>
    <x v="2"/>
    <x v="1"/>
    <x v="0"/>
    <x v="8"/>
    <n v="5"/>
    <n v="900"/>
    <n v="1500"/>
    <x v="80"/>
    <n v="4500"/>
    <n v="3000"/>
    <n v="0.4"/>
  </r>
  <r>
    <s v="ORD1331"/>
    <x v="219"/>
    <s v="Customer 1"/>
    <x v="1"/>
    <x v="5"/>
    <x v="1"/>
    <x v="2"/>
    <n v="4"/>
    <n v="12000"/>
    <n v="16500"/>
    <x v="145"/>
    <n v="48000"/>
    <n v="18000"/>
    <n v="0.27272727272727271"/>
  </r>
  <r>
    <s v="ORD1332"/>
    <x v="220"/>
    <s v="Customer 150"/>
    <x v="4"/>
    <x v="4"/>
    <x v="0"/>
    <x v="9"/>
    <n v="5"/>
    <n v="2500"/>
    <n v="3600"/>
    <x v="96"/>
    <n v="12500"/>
    <n v="5500"/>
    <n v="0.30555555555555558"/>
  </r>
  <r>
    <s v="ORD1333"/>
    <x v="221"/>
    <s v="Customer 95"/>
    <x v="0"/>
    <x v="3"/>
    <x v="0"/>
    <x v="3"/>
    <n v="2"/>
    <n v="400"/>
    <n v="650"/>
    <x v="78"/>
    <n v="800"/>
    <n v="500"/>
    <n v="0.38461538461538458"/>
  </r>
  <r>
    <s v="ORD1334"/>
    <x v="222"/>
    <s v="Customer 9"/>
    <x v="1"/>
    <x v="5"/>
    <x v="3"/>
    <x v="5"/>
    <n v="11"/>
    <n v="2800"/>
    <n v="4200"/>
    <x v="43"/>
    <n v="30800"/>
    <n v="15400"/>
    <n v="0.33333333333333331"/>
  </r>
  <r>
    <s v="ORD1335"/>
    <x v="223"/>
    <s v="Customer 123"/>
    <x v="2"/>
    <x v="2"/>
    <x v="0"/>
    <x v="8"/>
    <n v="12"/>
    <n v="900"/>
    <n v="1500"/>
    <x v="96"/>
    <n v="10800"/>
    <n v="7200"/>
    <n v="0.4"/>
  </r>
  <r>
    <s v="ORD1336"/>
    <x v="179"/>
    <s v="Customer 44"/>
    <x v="4"/>
    <x v="1"/>
    <x v="0"/>
    <x v="3"/>
    <n v="18"/>
    <n v="400"/>
    <n v="650"/>
    <x v="76"/>
    <n v="7200"/>
    <n v="4500"/>
    <n v="0.38461538461538458"/>
  </r>
  <r>
    <s v="ORD1337"/>
    <x v="224"/>
    <s v="Customer 80"/>
    <x v="1"/>
    <x v="1"/>
    <x v="0"/>
    <x v="0"/>
    <n v="10"/>
    <n v="1800"/>
    <n v="2600"/>
    <x v="53"/>
    <n v="18000"/>
    <n v="8000"/>
    <n v="0.30769230769230771"/>
  </r>
  <r>
    <s v="ORD1338"/>
    <x v="176"/>
    <s v="Customer 132"/>
    <x v="3"/>
    <x v="2"/>
    <x v="0"/>
    <x v="0"/>
    <n v="3"/>
    <n v="1800"/>
    <n v="2600"/>
    <x v="60"/>
    <n v="5400"/>
    <n v="2400"/>
    <n v="0.30769230769230771"/>
  </r>
  <r>
    <s v="ORD1339"/>
    <x v="105"/>
    <s v="Customer 128"/>
    <x v="4"/>
    <x v="5"/>
    <x v="0"/>
    <x v="6"/>
    <n v="4"/>
    <n v="1800"/>
    <n v="2800"/>
    <x v="85"/>
    <n v="7200"/>
    <n v="4000"/>
    <n v="0.35714285714285721"/>
  </r>
  <r>
    <s v="ORD1340"/>
    <x v="225"/>
    <s v="Customer 48"/>
    <x v="4"/>
    <x v="5"/>
    <x v="3"/>
    <x v="5"/>
    <n v="2"/>
    <n v="2800"/>
    <n v="4200"/>
    <x v="46"/>
    <n v="5600"/>
    <n v="2800"/>
    <n v="0.33333333333333331"/>
  </r>
  <r>
    <s v="ORD1341"/>
    <x v="226"/>
    <s v="Customer 11"/>
    <x v="2"/>
    <x v="3"/>
    <x v="0"/>
    <x v="6"/>
    <n v="10"/>
    <n v="1800"/>
    <n v="2800"/>
    <x v="110"/>
    <n v="18000"/>
    <n v="10000"/>
    <n v="0.35714285714285721"/>
  </r>
  <r>
    <s v="ORD1342"/>
    <x v="227"/>
    <s v="Customer 6"/>
    <x v="0"/>
    <x v="4"/>
    <x v="1"/>
    <x v="2"/>
    <n v="6"/>
    <n v="12000"/>
    <n v="16500"/>
    <x v="99"/>
    <n v="72000"/>
    <n v="27000"/>
    <n v="0.27272727272727271"/>
  </r>
  <r>
    <s v="ORD1343"/>
    <x v="227"/>
    <s v="Customer 31"/>
    <x v="0"/>
    <x v="5"/>
    <x v="0"/>
    <x v="3"/>
    <n v="19"/>
    <n v="400"/>
    <n v="650"/>
    <x v="146"/>
    <n v="7600"/>
    <n v="4750"/>
    <n v="0.38461538461538458"/>
  </r>
  <r>
    <s v="ORD1344"/>
    <x v="137"/>
    <s v="Customer 129"/>
    <x v="2"/>
    <x v="2"/>
    <x v="0"/>
    <x v="9"/>
    <n v="15"/>
    <n v="2500"/>
    <n v="3600"/>
    <x v="50"/>
    <n v="37500"/>
    <n v="16500"/>
    <n v="0.30555555555555558"/>
  </r>
  <r>
    <s v="ORD1345"/>
    <x v="228"/>
    <s v="Customer 67"/>
    <x v="2"/>
    <x v="5"/>
    <x v="0"/>
    <x v="3"/>
    <n v="13"/>
    <n v="400"/>
    <n v="650"/>
    <x v="117"/>
    <n v="5200"/>
    <n v="3250"/>
    <n v="0.38461538461538458"/>
  </r>
  <r>
    <s v="ORD1346"/>
    <x v="229"/>
    <s v="Customer 132"/>
    <x v="4"/>
    <x v="5"/>
    <x v="0"/>
    <x v="8"/>
    <n v="14"/>
    <n v="900"/>
    <n v="1500"/>
    <x v="41"/>
    <n v="12600"/>
    <n v="8400"/>
    <n v="0.4"/>
  </r>
  <r>
    <s v="ORD1347"/>
    <x v="230"/>
    <s v="Customer 25"/>
    <x v="4"/>
    <x v="1"/>
    <x v="0"/>
    <x v="0"/>
    <n v="9"/>
    <n v="1800"/>
    <n v="2600"/>
    <x v="147"/>
    <n v="16200"/>
    <n v="7200"/>
    <n v="0.30769230769230771"/>
  </r>
  <r>
    <s v="ORD1348"/>
    <x v="127"/>
    <s v="Customer 113"/>
    <x v="0"/>
    <x v="4"/>
    <x v="0"/>
    <x v="6"/>
    <n v="17"/>
    <n v="1800"/>
    <n v="2800"/>
    <x v="107"/>
    <n v="30600"/>
    <n v="17000"/>
    <n v="0.35714285714285721"/>
  </r>
  <r>
    <s v="ORD1349"/>
    <x v="231"/>
    <s v="Customer 27"/>
    <x v="2"/>
    <x v="4"/>
    <x v="2"/>
    <x v="4"/>
    <n v="11"/>
    <n v="8500"/>
    <n v="12000"/>
    <x v="31"/>
    <n v="93500"/>
    <n v="38500"/>
    <n v="0.29166666666666669"/>
  </r>
  <r>
    <s v="ORD1350"/>
    <x v="214"/>
    <s v="Customer 137"/>
    <x v="0"/>
    <x v="3"/>
    <x v="0"/>
    <x v="3"/>
    <n v="19"/>
    <n v="400"/>
    <n v="650"/>
    <x v="146"/>
    <n v="7600"/>
    <n v="4750"/>
    <n v="0.38461538461538458"/>
  </r>
  <r>
    <s v="ORD1351"/>
    <x v="147"/>
    <s v="Customer 117"/>
    <x v="0"/>
    <x v="3"/>
    <x v="0"/>
    <x v="9"/>
    <n v="20"/>
    <n v="2500"/>
    <n v="3600"/>
    <x v="122"/>
    <n v="50000"/>
    <n v="22000"/>
    <n v="0.30555555555555558"/>
  </r>
  <r>
    <s v="ORD1352"/>
    <x v="123"/>
    <s v="Customer 149"/>
    <x v="0"/>
    <x v="3"/>
    <x v="0"/>
    <x v="9"/>
    <n v="4"/>
    <n v="2500"/>
    <n v="3600"/>
    <x v="148"/>
    <n v="10000"/>
    <n v="4400"/>
    <n v="0.30555555555555558"/>
  </r>
  <r>
    <s v="ORD1353"/>
    <x v="232"/>
    <s v="Customer 46"/>
    <x v="0"/>
    <x v="1"/>
    <x v="3"/>
    <x v="5"/>
    <n v="6"/>
    <n v="2800"/>
    <n v="4200"/>
    <x v="33"/>
    <n v="16800"/>
    <n v="8400"/>
    <n v="0.33333333333333331"/>
  </r>
  <r>
    <s v="ORD1354"/>
    <x v="233"/>
    <s v="Customer 89"/>
    <x v="4"/>
    <x v="4"/>
    <x v="0"/>
    <x v="0"/>
    <n v="10"/>
    <n v="1800"/>
    <n v="2600"/>
    <x v="53"/>
    <n v="18000"/>
    <n v="8000"/>
    <n v="0.30769230769230771"/>
  </r>
  <r>
    <s v="ORD1355"/>
    <x v="234"/>
    <s v="Customer 150"/>
    <x v="4"/>
    <x v="1"/>
    <x v="0"/>
    <x v="3"/>
    <n v="12"/>
    <n v="400"/>
    <n v="650"/>
    <x v="60"/>
    <n v="4800"/>
    <n v="3000"/>
    <n v="0.38461538461538458"/>
  </r>
  <r>
    <s v="ORD1356"/>
    <x v="216"/>
    <s v="Customer 6"/>
    <x v="4"/>
    <x v="5"/>
    <x v="0"/>
    <x v="3"/>
    <n v="18"/>
    <n v="400"/>
    <n v="650"/>
    <x v="76"/>
    <n v="7200"/>
    <n v="4500"/>
    <n v="0.38461538461538458"/>
  </r>
  <r>
    <s v="ORD1357"/>
    <x v="209"/>
    <s v="Customer 60"/>
    <x v="0"/>
    <x v="0"/>
    <x v="0"/>
    <x v="0"/>
    <n v="17"/>
    <n v="1800"/>
    <n v="2600"/>
    <x v="132"/>
    <n v="30600"/>
    <n v="13600"/>
    <n v="0.30769230769230771"/>
  </r>
  <r>
    <s v="ORD1358"/>
    <x v="235"/>
    <s v="Customer 147"/>
    <x v="0"/>
    <x v="3"/>
    <x v="0"/>
    <x v="6"/>
    <n v="12"/>
    <n v="1800"/>
    <n v="2800"/>
    <x v="100"/>
    <n v="21600"/>
    <n v="12000"/>
    <n v="0.35714285714285721"/>
  </r>
  <r>
    <s v="ORD1359"/>
    <x v="228"/>
    <s v="Customer 66"/>
    <x v="1"/>
    <x v="4"/>
    <x v="0"/>
    <x v="8"/>
    <n v="7"/>
    <n v="900"/>
    <n v="1500"/>
    <x v="17"/>
    <n v="6300"/>
    <n v="4200"/>
    <n v="0.4"/>
  </r>
  <r>
    <s v="ORD1360"/>
    <x v="66"/>
    <s v="Customer 122"/>
    <x v="0"/>
    <x v="5"/>
    <x v="1"/>
    <x v="7"/>
    <n v="20"/>
    <n v="42000"/>
    <n v="55000"/>
    <x v="149"/>
    <n v="840000"/>
    <n v="260000"/>
    <n v="0.23636363636363639"/>
  </r>
  <r>
    <s v="ORD1361"/>
    <x v="219"/>
    <s v="Customer 131"/>
    <x v="1"/>
    <x v="2"/>
    <x v="1"/>
    <x v="2"/>
    <n v="12"/>
    <n v="12000"/>
    <n v="16500"/>
    <x v="15"/>
    <n v="144000"/>
    <n v="54000"/>
    <n v="0.27272727272727271"/>
  </r>
  <r>
    <s v="ORD1362"/>
    <x v="236"/>
    <s v="Customer 130"/>
    <x v="1"/>
    <x v="3"/>
    <x v="0"/>
    <x v="3"/>
    <n v="6"/>
    <n v="400"/>
    <n v="650"/>
    <x v="102"/>
    <n v="2400"/>
    <n v="1500"/>
    <n v="0.38461538461538458"/>
  </r>
  <r>
    <s v="ORD1363"/>
    <x v="137"/>
    <s v="Customer 65"/>
    <x v="3"/>
    <x v="4"/>
    <x v="2"/>
    <x v="4"/>
    <n v="14"/>
    <n v="8500"/>
    <n v="12000"/>
    <x v="116"/>
    <n v="119000"/>
    <n v="49000"/>
    <n v="0.29166666666666669"/>
  </r>
  <r>
    <s v="ORD1364"/>
    <x v="237"/>
    <s v="Customer 144"/>
    <x v="2"/>
    <x v="5"/>
    <x v="1"/>
    <x v="2"/>
    <n v="1"/>
    <n v="12000"/>
    <n v="16500"/>
    <x v="2"/>
    <n v="12000"/>
    <n v="4500"/>
    <n v="0.27272727272727271"/>
  </r>
  <r>
    <s v="ORD1365"/>
    <x v="238"/>
    <s v="Customer 6"/>
    <x v="2"/>
    <x v="2"/>
    <x v="0"/>
    <x v="9"/>
    <n v="14"/>
    <n v="2500"/>
    <n v="3600"/>
    <x v="59"/>
    <n v="35000"/>
    <n v="15400"/>
    <n v="0.30555555555555558"/>
  </r>
  <r>
    <s v="ORD1366"/>
    <x v="239"/>
    <s v="Customer 22"/>
    <x v="0"/>
    <x v="1"/>
    <x v="2"/>
    <x v="4"/>
    <n v="2"/>
    <n v="8500"/>
    <n v="12000"/>
    <x v="61"/>
    <n v="17000"/>
    <n v="7000"/>
    <n v="0.29166666666666669"/>
  </r>
  <r>
    <s v="ORD1367"/>
    <x v="240"/>
    <s v="Customer 111"/>
    <x v="0"/>
    <x v="5"/>
    <x v="1"/>
    <x v="7"/>
    <n v="2"/>
    <n v="42000"/>
    <n v="55000"/>
    <x v="16"/>
    <n v="84000"/>
    <n v="26000"/>
    <n v="0.23636363636363639"/>
  </r>
  <r>
    <s v="ORD1368"/>
    <x v="241"/>
    <s v="Customer 93"/>
    <x v="1"/>
    <x v="3"/>
    <x v="3"/>
    <x v="5"/>
    <n v="10"/>
    <n v="2800"/>
    <n v="4200"/>
    <x v="12"/>
    <n v="28000"/>
    <n v="14000"/>
    <n v="0.33333333333333331"/>
  </r>
  <r>
    <s v="ORD1369"/>
    <x v="242"/>
    <s v="Customer 7"/>
    <x v="4"/>
    <x v="1"/>
    <x v="3"/>
    <x v="5"/>
    <n v="2"/>
    <n v="2800"/>
    <n v="4200"/>
    <x v="46"/>
    <n v="5600"/>
    <n v="2800"/>
    <n v="0.33333333333333331"/>
  </r>
  <r>
    <s v="ORD1370"/>
    <x v="114"/>
    <s v="Customer 20"/>
    <x v="2"/>
    <x v="2"/>
    <x v="0"/>
    <x v="6"/>
    <n v="14"/>
    <n v="1800"/>
    <n v="2800"/>
    <x v="124"/>
    <n v="25200"/>
    <n v="14000"/>
    <n v="0.35714285714285721"/>
  </r>
  <r>
    <s v="ORD1371"/>
    <x v="181"/>
    <s v="Customer 84"/>
    <x v="3"/>
    <x v="5"/>
    <x v="3"/>
    <x v="5"/>
    <n v="16"/>
    <n v="2800"/>
    <n v="4200"/>
    <x v="114"/>
    <n v="44800"/>
    <n v="22400"/>
    <n v="0.33333333333333331"/>
  </r>
  <r>
    <s v="ORD1372"/>
    <x v="95"/>
    <s v="Customer 43"/>
    <x v="3"/>
    <x v="5"/>
    <x v="3"/>
    <x v="5"/>
    <n v="8"/>
    <n v="2800"/>
    <n v="4200"/>
    <x v="100"/>
    <n v="22400"/>
    <n v="11200"/>
    <n v="0.33333333333333331"/>
  </r>
  <r>
    <s v="ORD1373"/>
    <x v="171"/>
    <s v="Customer 52"/>
    <x v="3"/>
    <x v="1"/>
    <x v="0"/>
    <x v="8"/>
    <n v="14"/>
    <n v="900"/>
    <n v="1500"/>
    <x v="41"/>
    <n v="12600"/>
    <n v="8400"/>
    <n v="0.4"/>
  </r>
  <r>
    <s v="ORD1374"/>
    <x v="243"/>
    <s v="Customer 138"/>
    <x v="3"/>
    <x v="4"/>
    <x v="1"/>
    <x v="2"/>
    <n v="7"/>
    <n v="12000"/>
    <n v="16500"/>
    <x v="139"/>
    <n v="84000"/>
    <n v="31500"/>
    <n v="0.27272727272727271"/>
  </r>
  <r>
    <s v="ORD1375"/>
    <x v="130"/>
    <s v="Customer 51"/>
    <x v="3"/>
    <x v="0"/>
    <x v="3"/>
    <x v="5"/>
    <n v="11"/>
    <n v="2800"/>
    <n v="4200"/>
    <x v="43"/>
    <n v="30800"/>
    <n v="15400"/>
    <n v="0.33333333333333331"/>
  </r>
  <r>
    <s v="ORD1376"/>
    <x v="80"/>
    <s v="Customer 106"/>
    <x v="0"/>
    <x v="4"/>
    <x v="0"/>
    <x v="6"/>
    <n v="6"/>
    <n v="1800"/>
    <n v="2800"/>
    <x v="150"/>
    <n v="10800"/>
    <n v="6000"/>
    <n v="0.35714285714285721"/>
  </r>
  <r>
    <s v="ORD1377"/>
    <x v="103"/>
    <s v="Customer 136"/>
    <x v="0"/>
    <x v="0"/>
    <x v="0"/>
    <x v="9"/>
    <n v="16"/>
    <n v="2500"/>
    <n v="3600"/>
    <x v="143"/>
    <n v="40000"/>
    <n v="17600"/>
    <n v="0.30555555555555558"/>
  </r>
  <r>
    <s v="ORD1378"/>
    <x v="244"/>
    <s v="Customer 18"/>
    <x v="0"/>
    <x v="4"/>
    <x v="0"/>
    <x v="3"/>
    <n v="15"/>
    <n v="400"/>
    <n v="650"/>
    <x v="9"/>
    <n v="6000"/>
    <n v="3750"/>
    <n v="0.38461538461538458"/>
  </r>
  <r>
    <s v="ORD1379"/>
    <x v="136"/>
    <s v="Customer 20"/>
    <x v="3"/>
    <x v="2"/>
    <x v="0"/>
    <x v="0"/>
    <n v="9"/>
    <n v="1800"/>
    <n v="2600"/>
    <x v="147"/>
    <n v="16200"/>
    <n v="7200"/>
    <n v="0.30769230769230771"/>
  </r>
  <r>
    <s v="ORD1380"/>
    <x v="216"/>
    <s v="Customer 108"/>
    <x v="3"/>
    <x v="1"/>
    <x v="0"/>
    <x v="9"/>
    <n v="5"/>
    <n v="2500"/>
    <n v="3600"/>
    <x v="96"/>
    <n v="12500"/>
    <n v="5500"/>
    <n v="0.30555555555555558"/>
  </r>
  <r>
    <s v="ORD1381"/>
    <x v="209"/>
    <s v="Customer 144"/>
    <x v="4"/>
    <x v="5"/>
    <x v="0"/>
    <x v="9"/>
    <n v="14"/>
    <n v="2500"/>
    <n v="3600"/>
    <x v="59"/>
    <n v="35000"/>
    <n v="15400"/>
    <n v="0.30555555555555558"/>
  </r>
  <r>
    <s v="ORD1382"/>
    <x v="245"/>
    <s v="Customer 39"/>
    <x v="4"/>
    <x v="3"/>
    <x v="1"/>
    <x v="7"/>
    <n v="10"/>
    <n v="42000"/>
    <n v="55000"/>
    <x v="72"/>
    <n v="420000"/>
    <n v="130000"/>
    <n v="0.23636363636363639"/>
  </r>
  <r>
    <s v="ORD1383"/>
    <x v="182"/>
    <s v="Customer 97"/>
    <x v="4"/>
    <x v="0"/>
    <x v="1"/>
    <x v="1"/>
    <n v="6"/>
    <n v="15000"/>
    <n v="19500"/>
    <x v="151"/>
    <n v="90000"/>
    <n v="27000"/>
    <n v="0.23076923076923081"/>
  </r>
  <r>
    <s v="ORD1384"/>
    <x v="246"/>
    <s v="Customer 53"/>
    <x v="3"/>
    <x v="4"/>
    <x v="0"/>
    <x v="3"/>
    <n v="20"/>
    <n v="400"/>
    <n v="650"/>
    <x v="70"/>
    <n v="8000"/>
    <n v="5000"/>
    <n v="0.38461538461538458"/>
  </r>
  <r>
    <s v="ORD1385"/>
    <x v="19"/>
    <s v="Customer 130"/>
    <x v="0"/>
    <x v="4"/>
    <x v="0"/>
    <x v="3"/>
    <n v="15"/>
    <n v="400"/>
    <n v="650"/>
    <x v="9"/>
    <n v="6000"/>
    <n v="3750"/>
    <n v="0.38461538461538458"/>
  </r>
  <r>
    <s v="ORD1386"/>
    <x v="247"/>
    <s v="Customer 134"/>
    <x v="2"/>
    <x v="1"/>
    <x v="0"/>
    <x v="3"/>
    <n v="7"/>
    <n v="400"/>
    <n v="650"/>
    <x v="47"/>
    <n v="2800"/>
    <n v="1750"/>
    <n v="0.38461538461538458"/>
  </r>
  <r>
    <s v="ORD1387"/>
    <x v="6"/>
    <s v="Customer 111"/>
    <x v="1"/>
    <x v="2"/>
    <x v="0"/>
    <x v="0"/>
    <n v="19"/>
    <n v="1800"/>
    <n v="2600"/>
    <x v="8"/>
    <n v="34200"/>
    <n v="15200"/>
    <n v="0.30769230769230771"/>
  </r>
  <r>
    <s v="ORD1388"/>
    <x v="7"/>
    <s v="Customer 142"/>
    <x v="2"/>
    <x v="5"/>
    <x v="1"/>
    <x v="2"/>
    <n v="5"/>
    <n v="12000"/>
    <n v="16500"/>
    <x v="67"/>
    <n v="60000"/>
    <n v="22500"/>
    <n v="0.27272727272727271"/>
  </r>
  <r>
    <s v="ORD1389"/>
    <x v="159"/>
    <s v="Customer 7"/>
    <x v="2"/>
    <x v="3"/>
    <x v="0"/>
    <x v="6"/>
    <n v="3"/>
    <n v="1800"/>
    <n v="2800"/>
    <x v="46"/>
    <n v="5400"/>
    <n v="3000"/>
    <n v="0.35714285714285721"/>
  </r>
  <r>
    <s v="ORD1390"/>
    <x v="248"/>
    <s v="Customer 132"/>
    <x v="0"/>
    <x v="0"/>
    <x v="3"/>
    <x v="5"/>
    <n v="1"/>
    <n v="2800"/>
    <n v="4200"/>
    <x v="152"/>
    <n v="2800"/>
    <n v="1400"/>
    <n v="0.33333333333333331"/>
  </r>
  <r>
    <s v="ORD1391"/>
    <x v="249"/>
    <s v="Customer 77"/>
    <x v="3"/>
    <x v="5"/>
    <x v="0"/>
    <x v="6"/>
    <n v="14"/>
    <n v="1800"/>
    <n v="2800"/>
    <x v="124"/>
    <n v="25200"/>
    <n v="14000"/>
    <n v="0.35714285714285721"/>
  </r>
  <r>
    <s v="ORD1392"/>
    <x v="139"/>
    <s v="Customer 52"/>
    <x v="3"/>
    <x v="3"/>
    <x v="2"/>
    <x v="4"/>
    <n v="19"/>
    <n v="8500"/>
    <n v="12000"/>
    <x v="126"/>
    <n v="161500"/>
    <n v="66500"/>
    <n v="0.29166666666666669"/>
  </r>
  <r>
    <s v="ORD1393"/>
    <x v="32"/>
    <s v="Customer 31"/>
    <x v="3"/>
    <x v="4"/>
    <x v="3"/>
    <x v="5"/>
    <n v="1"/>
    <n v="2800"/>
    <n v="4200"/>
    <x v="152"/>
    <n v="2800"/>
    <n v="1400"/>
    <n v="0.33333333333333331"/>
  </r>
  <r>
    <s v="ORD1394"/>
    <x v="40"/>
    <s v="Customer 143"/>
    <x v="2"/>
    <x v="0"/>
    <x v="1"/>
    <x v="2"/>
    <n v="20"/>
    <n v="12000"/>
    <n v="16500"/>
    <x v="125"/>
    <n v="240000"/>
    <n v="90000"/>
    <n v="0.27272727272727271"/>
  </r>
  <r>
    <s v="ORD1395"/>
    <x v="103"/>
    <s v="Customer 138"/>
    <x v="4"/>
    <x v="1"/>
    <x v="3"/>
    <x v="5"/>
    <n v="20"/>
    <n v="2800"/>
    <n v="4200"/>
    <x v="98"/>
    <n v="56000"/>
    <n v="28000"/>
    <n v="0.33333333333333331"/>
  </r>
  <r>
    <s v="ORD1396"/>
    <x v="250"/>
    <s v="Customer 67"/>
    <x v="0"/>
    <x v="5"/>
    <x v="0"/>
    <x v="9"/>
    <n v="9"/>
    <n v="2500"/>
    <n v="3600"/>
    <x v="35"/>
    <n v="22500"/>
    <n v="9900"/>
    <n v="0.30555555555555558"/>
  </r>
  <r>
    <s v="ORD1397"/>
    <x v="189"/>
    <s v="Customer 87"/>
    <x v="1"/>
    <x v="2"/>
    <x v="0"/>
    <x v="6"/>
    <n v="19"/>
    <n v="1800"/>
    <n v="2800"/>
    <x v="153"/>
    <n v="34200"/>
    <n v="19000"/>
    <n v="0.35714285714285721"/>
  </r>
  <r>
    <s v="ORD1398"/>
    <x v="198"/>
    <s v="Customer 6"/>
    <x v="0"/>
    <x v="3"/>
    <x v="0"/>
    <x v="9"/>
    <n v="3"/>
    <n v="2500"/>
    <n v="3600"/>
    <x v="135"/>
    <n v="7500"/>
    <n v="3300"/>
    <n v="0.30555555555555558"/>
  </r>
  <r>
    <s v="ORD1399"/>
    <x v="159"/>
    <s v="Customer 144"/>
    <x v="0"/>
    <x v="2"/>
    <x v="0"/>
    <x v="9"/>
    <n v="20"/>
    <n v="2500"/>
    <n v="3600"/>
    <x v="122"/>
    <n v="50000"/>
    <n v="22000"/>
    <n v="0.30555555555555558"/>
  </r>
  <r>
    <s v="ORD1400"/>
    <x v="162"/>
    <s v="Customer 141"/>
    <x v="1"/>
    <x v="4"/>
    <x v="0"/>
    <x v="0"/>
    <n v="2"/>
    <n v="1800"/>
    <n v="2600"/>
    <x v="131"/>
    <n v="3600"/>
    <n v="1600"/>
    <n v="0.30769230769230771"/>
  </r>
  <r>
    <s v="ORD1401"/>
    <x v="68"/>
    <s v="Customer 48"/>
    <x v="0"/>
    <x v="4"/>
    <x v="0"/>
    <x v="0"/>
    <n v="16"/>
    <n v="1800"/>
    <n v="2600"/>
    <x v="0"/>
    <n v="28800"/>
    <n v="12800"/>
    <n v="0.30769230769230771"/>
  </r>
  <r>
    <s v="ORD1402"/>
    <x v="251"/>
    <s v="Customer 111"/>
    <x v="4"/>
    <x v="2"/>
    <x v="1"/>
    <x v="7"/>
    <n v="8"/>
    <n v="42000"/>
    <n v="55000"/>
    <x v="154"/>
    <n v="336000"/>
    <n v="104000"/>
    <n v="0.23636363636363639"/>
  </r>
  <r>
    <s v="ORD1403"/>
    <x v="187"/>
    <s v="Customer 88"/>
    <x v="3"/>
    <x v="5"/>
    <x v="0"/>
    <x v="8"/>
    <n v="8"/>
    <n v="900"/>
    <n v="1500"/>
    <x v="65"/>
    <n v="7200"/>
    <n v="4800"/>
    <n v="0.4"/>
  </r>
  <r>
    <s v="ORD1404"/>
    <x v="104"/>
    <s v="Customer 121"/>
    <x v="0"/>
    <x v="3"/>
    <x v="0"/>
    <x v="3"/>
    <n v="18"/>
    <n v="400"/>
    <n v="650"/>
    <x v="76"/>
    <n v="7200"/>
    <n v="4500"/>
    <n v="0.38461538461538458"/>
  </r>
  <r>
    <s v="ORD1405"/>
    <x v="176"/>
    <s v="Customer 52"/>
    <x v="2"/>
    <x v="3"/>
    <x v="3"/>
    <x v="5"/>
    <n v="18"/>
    <n v="2800"/>
    <n v="4200"/>
    <x v="101"/>
    <n v="50400"/>
    <n v="25200"/>
    <n v="0.33333333333333331"/>
  </r>
  <r>
    <s v="ORD1406"/>
    <x v="252"/>
    <s v="Customer 130"/>
    <x v="4"/>
    <x v="0"/>
    <x v="2"/>
    <x v="4"/>
    <n v="18"/>
    <n v="8500"/>
    <n v="12000"/>
    <x v="28"/>
    <n v="153000"/>
    <n v="63000"/>
    <n v="0.29166666666666669"/>
  </r>
  <r>
    <s v="ORD1407"/>
    <x v="253"/>
    <s v="Customer 11"/>
    <x v="1"/>
    <x v="2"/>
    <x v="0"/>
    <x v="3"/>
    <n v="16"/>
    <n v="400"/>
    <n v="650"/>
    <x v="4"/>
    <n v="6400"/>
    <n v="4000"/>
    <n v="0.38461538461538458"/>
  </r>
  <r>
    <s v="ORD1408"/>
    <x v="175"/>
    <s v="Customer 40"/>
    <x v="2"/>
    <x v="5"/>
    <x v="0"/>
    <x v="3"/>
    <n v="7"/>
    <n v="400"/>
    <n v="650"/>
    <x v="47"/>
    <n v="2800"/>
    <n v="1750"/>
    <n v="0.38461538461538458"/>
  </r>
  <r>
    <s v="ORD1409"/>
    <x v="254"/>
    <s v="Customer 20"/>
    <x v="2"/>
    <x v="2"/>
    <x v="1"/>
    <x v="2"/>
    <n v="3"/>
    <n v="12000"/>
    <n v="16500"/>
    <x v="38"/>
    <n v="36000"/>
    <n v="13500"/>
    <n v="0.27272727272727271"/>
  </r>
  <r>
    <s v="ORD1410"/>
    <x v="5"/>
    <s v="Customer 70"/>
    <x v="0"/>
    <x v="5"/>
    <x v="0"/>
    <x v="8"/>
    <n v="14"/>
    <n v="900"/>
    <n v="1500"/>
    <x v="41"/>
    <n v="12600"/>
    <n v="8400"/>
    <n v="0.4"/>
  </r>
  <r>
    <s v="ORD1411"/>
    <x v="189"/>
    <s v="Customer 62"/>
    <x v="4"/>
    <x v="3"/>
    <x v="2"/>
    <x v="4"/>
    <n v="13"/>
    <n v="8500"/>
    <n v="12000"/>
    <x v="121"/>
    <n v="110500"/>
    <n v="45500"/>
    <n v="0.29166666666666669"/>
  </r>
  <r>
    <s v="ORD1412"/>
    <x v="65"/>
    <s v="Customer 132"/>
    <x v="3"/>
    <x v="3"/>
    <x v="3"/>
    <x v="5"/>
    <n v="10"/>
    <n v="2800"/>
    <n v="4200"/>
    <x v="12"/>
    <n v="28000"/>
    <n v="14000"/>
    <n v="0.33333333333333331"/>
  </r>
  <r>
    <s v="ORD1413"/>
    <x v="255"/>
    <s v="Customer 128"/>
    <x v="1"/>
    <x v="4"/>
    <x v="0"/>
    <x v="9"/>
    <n v="19"/>
    <n v="2500"/>
    <n v="3600"/>
    <x v="128"/>
    <n v="47500"/>
    <n v="20900"/>
    <n v="0.30555555555555558"/>
  </r>
  <r>
    <s v="ORD1414"/>
    <x v="256"/>
    <s v="Customer 11"/>
    <x v="4"/>
    <x v="0"/>
    <x v="0"/>
    <x v="6"/>
    <n v="18"/>
    <n v="1800"/>
    <n v="2800"/>
    <x v="59"/>
    <n v="32400"/>
    <n v="18000"/>
    <n v="0.35714285714285721"/>
  </r>
  <r>
    <s v="ORD1415"/>
    <x v="179"/>
    <s v="Customer 124"/>
    <x v="0"/>
    <x v="4"/>
    <x v="1"/>
    <x v="7"/>
    <n v="6"/>
    <n v="42000"/>
    <n v="55000"/>
    <x v="125"/>
    <n v="252000"/>
    <n v="78000"/>
    <n v="0.23636363636363639"/>
  </r>
  <r>
    <s v="ORD1416"/>
    <x v="26"/>
    <s v="Customer 144"/>
    <x v="3"/>
    <x v="5"/>
    <x v="1"/>
    <x v="2"/>
    <n v="11"/>
    <n v="12000"/>
    <n v="16500"/>
    <x v="11"/>
    <n v="132000"/>
    <n v="49500"/>
    <n v="0.27272727272727271"/>
  </r>
  <r>
    <s v="ORD1417"/>
    <x v="255"/>
    <s v="Customer 73"/>
    <x v="3"/>
    <x v="5"/>
    <x v="1"/>
    <x v="7"/>
    <n v="20"/>
    <n v="42000"/>
    <n v="55000"/>
    <x v="149"/>
    <n v="840000"/>
    <n v="260000"/>
    <n v="0.23636363636363639"/>
  </r>
  <r>
    <s v="ORD1418"/>
    <x v="41"/>
    <s v="Customer 11"/>
    <x v="0"/>
    <x v="3"/>
    <x v="1"/>
    <x v="2"/>
    <n v="5"/>
    <n v="12000"/>
    <n v="16500"/>
    <x v="67"/>
    <n v="60000"/>
    <n v="22500"/>
    <n v="0.27272727272727271"/>
  </r>
  <r>
    <s v="ORD1419"/>
    <x v="204"/>
    <s v="Customer 88"/>
    <x v="3"/>
    <x v="5"/>
    <x v="3"/>
    <x v="5"/>
    <n v="4"/>
    <n v="2800"/>
    <n v="4200"/>
    <x v="150"/>
    <n v="11200"/>
    <n v="5600"/>
    <n v="0.33333333333333331"/>
  </r>
  <r>
    <s v="ORD1420"/>
    <x v="161"/>
    <s v="Customer 109"/>
    <x v="1"/>
    <x v="5"/>
    <x v="0"/>
    <x v="3"/>
    <n v="4"/>
    <n v="400"/>
    <n v="650"/>
    <x v="18"/>
    <n v="1600"/>
    <n v="1000"/>
    <n v="0.38461538461538458"/>
  </r>
  <r>
    <s v="ORD1421"/>
    <x v="257"/>
    <s v="Customer 12"/>
    <x v="0"/>
    <x v="5"/>
    <x v="1"/>
    <x v="7"/>
    <n v="14"/>
    <n v="42000"/>
    <n v="55000"/>
    <x v="40"/>
    <n v="588000"/>
    <n v="182000"/>
    <n v="0.23636363636363639"/>
  </r>
  <r>
    <s v="ORD1422"/>
    <x v="258"/>
    <s v="Customer 148"/>
    <x v="4"/>
    <x v="5"/>
    <x v="1"/>
    <x v="2"/>
    <n v="11"/>
    <n v="12000"/>
    <n v="16500"/>
    <x v="11"/>
    <n v="132000"/>
    <n v="49500"/>
    <n v="0.27272727272727271"/>
  </r>
  <r>
    <s v="ORD1423"/>
    <x v="195"/>
    <s v="Customer 24"/>
    <x v="2"/>
    <x v="1"/>
    <x v="3"/>
    <x v="5"/>
    <n v="2"/>
    <n v="2800"/>
    <n v="4200"/>
    <x v="46"/>
    <n v="5600"/>
    <n v="2800"/>
    <n v="0.33333333333333331"/>
  </r>
  <r>
    <s v="ORD1424"/>
    <x v="182"/>
    <s v="Customer 27"/>
    <x v="3"/>
    <x v="5"/>
    <x v="0"/>
    <x v="8"/>
    <n v="20"/>
    <n v="900"/>
    <n v="1500"/>
    <x v="155"/>
    <n v="18000"/>
    <n v="12000"/>
    <n v="0.4"/>
  </r>
  <r>
    <s v="ORD1425"/>
    <x v="259"/>
    <s v="Customer 98"/>
    <x v="0"/>
    <x v="5"/>
    <x v="0"/>
    <x v="8"/>
    <n v="6"/>
    <n v="900"/>
    <n v="1500"/>
    <x v="62"/>
    <n v="5400"/>
    <n v="3600"/>
    <n v="0.4"/>
  </r>
  <r>
    <s v="ORD1426"/>
    <x v="260"/>
    <s v="Customer 85"/>
    <x v="3"/>
    <x v="4"/>
    <x v="1"/>
    <x v="1"/>
    <n v="11"/>
    <n v="15000"/>
    <n v="19500"/>
    <x v="95"/>
    <n v="165000"/>
    <n v="49500"/>
    <n v="0.23076923076923081"/>
  </r>
  <r>
    <s v="ORD1427"/>
    <x v="260"/>
    <s v="Customer 99"/>
    <x v="0"/>
    <x v="4"/>
    <x v="0"/>
    <x v="3"/>
    <n v="2"/>
    <n v="400"/>
    <n v="650"/>
    <x v="78"/>
    <n v="800"/>
    <n v="500"/>
    <n v="0.38461538461538458"/>
  </r>
  <r>
    <s v="ORD1428"/>
    <x v="261"/>
    <s v="Customer 107"/>
    <x v="4"/>
    <x v="3"/>
    <x v="0"/>
    <x v="9"/>
    <n v="1"/>
    <n v="2500"/>
    <n v="3600"/>
    <x v="63"/>
    <n v="2500"/>
    <n v="1100"/>
    <n v="0.30555555555555558"/>
  </r>
  <r>
    <s v="ORD1429"/>
    <x v="262"/>
    <s v="Customer 113"/>
    <x v="4"/>
    <x v="1"/>
    <x v="0"/>
    <x v="6"/>
    <n v="16"/>
    <n v="1800"/>
    <n v="2800"/>
    <x v="83"/>
    <n v="28800"/>
    <n v="16000"/>
    <n v="0.35714285714285721"/>
  </r>
  <r>
    <s v="ORD1430"/>
    <x v="263"/>
    <s v="Customer 33"/>
    <x v="4"/>
    <x v="2"/>
    <x v="0"/>
    <x v="9"/>
    <n v="13"/>
    <n v="2500"/>
    <n v="3600"/>
    <x v="91"/>
    <n v="32500"/>
    <n v="14300"/>
    <n v="0.30555555555555558"/>
  </r>
  <r>
    <s v="ORD1431"/>
    <x v="69"/>
    <s v="Customer 5"/>
    <x v="0"/>
    <x v="4"/>
    <x v="0"/>
    <x v="9"/>
    <n v="3"/>
    <n v="2500"/>
    <n v="3600"/>
    <x v="135"/>
    <n v="7500"/>
    <n v="3300"/>
    <n v="0.30555555555555558"/>
  </r>
  <r>
    <s v="ORD1432"/>
    <x v="146"/>
    <s v="Customer 31"/>
    <x v="0"/>
    <x v="1"/>
    <x v="1"/>
    <x v="2"/>
    <n v="19"/>
    <n v="12000"/>
    <n v="16500"/>
    <x v="26"/>
    <n v="228000"/>
    <n v="85500"/>
    <n v="0.27272727272727271"/>
  </r>
  <r>
    <s v="ORD1433"/>
    <x v="264"/>
    <s v="Customer 121"/>
    <x v="1"/>
    <x v="2"/>
    <x v="1"/>
    <x v="2"/>
    <n v="20"/>
    <n v="12000"/>
    <n v="16500"/>
    <x v="125"/>
    <n v="240000"/>
    <n v="90000"/>
    <n v="0.27272727272727271"/>
  </r>
  <r>
    <s v="ORD1434"/>
    <x v="265"/>
    <s v="Customer 8"/>
    <x v="1"/>
    <x v="3"/>
    <x v="0"/>
    <x v="3"/>
    <n v="19"/>
    <n v="400"/>
    <n v="650"/>
    <x v="146"/>
    <n v="7600"/>
    <n v="4750"/>
    <n v="0.38461538461538458"/>
  </r>
  <r>
    <s v="ORD1435"/>
    <x v="24"/>
    <s v="Customer 144"/>
    <x v="3"/>
    <x v="4"/>
    <x v="0"/>
    <x v="9"/>
    <n v="15"/>
    <n v="2500"/>
    <n v="3600"/>
    <x v="50"/>
    <n v="37500"/>
    <n v="16500"/>
    <n v="0.30555555555555558"/>
  </r>
  <r>
    <s v="ORD1436"/>
    <x v="168"/>
    <s v="Customer 122"/>
    <x v="0"/>
    <x v="2"/>
    <x v="0"/>
    <x v="0"/>
    <n v="13"/>
    <n v="1800"/>
    <n v="2600"/>
    <x v="75"/>
    <n v="23400"/>
    <n v="10400"/>
    <n v="0.30769230769230771"/>
  </r>
  <r>
    <s v="ORD1437"/>
    <x v="185"/>
    <s v="Customer 21"/>
    <x v="3"/>
    <x v="1"/>
    <x v="3"/>
    <x v="5"/>
    <n v="14"/>
    <n v="2800"/>
    <n v="4200"/>
    <x v="133"/>
    <n v="39200"/>
    <n v="19600"/>
    <n v="0.33333333333333331"/>
  </r>
  <r>
    <s v="ORD1438"/>
    <x v="266"/>
    <s v="Customer 30"/>
    <x v="1"/>
    <x v="0"/>
    <x v="1"/>
    <x v="1"/>
    <n v="12"/>
    <n v="15000"/>
    <n v="19500"/>
    <x v="93"/>
    <n v="180000"/>
    <n v="54000"/>
    <n v="0.23076923076923081"/>
  </r>
  <r>
    <s v="ORD1439"/>
    <x v="138"/>
    <s v="Customer 104"/>
    <x v="2"/>
    <x v="2"/>
    <x v="1"/>
    <x v="1"/>
    <n v="7"/>
    <n v="15000"/>
    <n v="19500"/>
    <x v="156"/>
    <n v="105000"/>
    <n v="31500"/>
    <n v="0.23076923076923081"/>
  </r>
  <r>
    <s v="ORD1440"/>
    <x v="113"/>
    <s v="Customer 83"/>
    <x v="0"/>
    <x v="4"/>
    <x v="3"/>
    <x v="5"/>
    <n v="14"/>
    <n v="2800"/>
    <n v="4200"/>
    <x v="133"/>
    <n v="39200"/>
    <n v="19600"/>
    <n v="0.33333333333333331"/>
  </r>
  <r>
    <s v="ORD1441"/>
    <x v="22"/>
    <s v="Customer 26"/>
    <x v="4"/>
    <x v="2"/>
    <x v="1"/>
    <x v="1"/>
    <n v="16"/>
    <n v="15000"/>
    <n v="19500"/>
    <x v="104"/>
    <n v="240000"/>
    <n v="72000"/>
    <n v="0.23076923076923081"/>
  </r>
  <r>
    <s v="ORD1442"/>
    <x v="267"/>
    <s v="Customer 136"/>
    <x v="4"/>
    <x v="4"/>
    <x v="2"/>
    <x v="4"/>
    <n v="20"/>
    <n v="8500"/>
    <n v="12000"/>
    <x v="39"/>
    <n v="170000"/>
    <n v="70000"/>
    <n v="0.29166666666666669"/>
  </r>
  <r>
    <s v="ORD1443"/>
    <x v="125"/>
    <s v="Customer 75"/>
    <x v="0"/>
    <x v="4"/>
    <x v="1"/>
    <x v="1"/>
    <n v="4"/>
    <n v="15000"/>
    <n v="19500"/>
    <x v="94"/>
    <n v="60000"/>
    <n v="18000"/>
    <n v="0.23076923076923081"/>
  </r>
  <r>
    <s v="ORD1444"/>
    <x v="178"/>
    <s v="Customer 83"/>
    <x v="1"/>
    <x v="0"/>
    <x v="3"/>
    <x v="5"/>
    <n v="6"/>
    <n v="2800"/>
    <n v="4200"/>
    <x v="33"/>
    <n v="16800"/>
    <n v="8400"/>
    <n v="0.33333333333333331"/>
  </r>
  <r>
    <s v="ORD1445"/>
    <x v="268"/>
    <s v="Customer 112"/>
    <x v="2"/>
    <x v="4"/>
    <x v="0"/>
    <x v="9"/>
    <n v="12"/>
    <n v="2500"/>
    <n v="3600"/>
    <x v="19"/>
    <n v="30000"/>
    <n v="13200"/>
    <n v="0.30555555555555558"/>
  </r>
  <r>
    <s v="ORD1446"/>
    <x v="269"/>
    <s v="Customer 148"/>
    <x v="1"/>
    <x v="2"/>
    <x v="2"/>
    <x v="4"/>
    <n v="19"/>
    <n v="8500"/>
    <n v="12000"/>
    <x v="126"/>
    <n v="161500"/>
    <n v="66500"/>
    <n v="0.29166666666666669"/>
  </r>
  <r>
    <s v="ORD1447"/>
    <x v="88"/>
    <s v="Customer 56"/>
    <x v="1"/>
    <x v="2"/>
    <x v="2"/>
    <x v="4"/>
    <n v="3"/>
    <n v="8500"/>
    <n v="12000"/>
    <x v="25"/>
    <n v="25500"/>
    <n v="10500"/>
    <n v="0.29166666666666669"/>
  </r>
  <r>
    <s v="ORD1448"/>
    <x v="172"/>
    <s v="Customer 18"/>
    <x v="4"/>
    <x v="3"/>
    <x v="0"/>
    <x v="0"/>
    <n v="20"/>
    <n v="1800"/>
    <n v="2600"/>
    <x v="142"/>
    <n v="36000"/>
    <n v="16000"/>
    <n v="0.30769230769230771"/>
  </r>
  <r>
    <s v="ORD1449"/>
    <x v="124"/>
    <s v="Customer 6"/>
    <x v="1"/>
    <x v="3"/>
    <x v="0"/>
    <x v="9"/>
    <n v="12"/>
    <n v="2500"/>
    <n v="3600"/>
    <x v="19"/>
    <n v="30000"/>
    <n v="13200"/>
    <n v="0.30555555555555558"/>
  </r>
  <r>
    <s v="ORD1450"/>
    <x v="222"/>
    <s v="Customer 43"/>
    <x v="3"/>
    <x v="2"/>
    <x v="0"/>
    <x v="6"/>
    <n v="11"/>
    <n v="1800"/>
    <n v="2800"/>
    <x v="118"/>
    <n v="19800"/>
    <n v="11000"/>
    <n v="0.35714285714285721"/>
  </r>
  <r>
    <s v="ORD1451"/>
    <x v="101"/>
    <s v="Customer 69"/>
    <x v="0"/>
    <x v="5"/>
    <x v="0"/>
    <x v="3"/>
    <n v="16"/>
    <n v="400"/>
    <n v="650"/>
    <x v="4"/>
    <n v="6400"/>
    <n v="4000"/>
    <n v="0.38461538461538458"/>
  </r>
  <r>
    <s v="ORD1452"/>
    <x v="162"/>
    <s v="Customer 111"/>
    <x v="2"/>
    <x v="5"/>
    <x v="2"/>
    <x v="4"/>
    <n v="1"/>
    <n v="8500"/>
    <n v="12000"/>
    <x v="65"/>
    <n v="8500"/>
    <n v="3500"/>
    <n v="0.29166666666666669"/>
  </r>
  <r>
    <s v="ORD1453"/>
    <x v="142"/>
    <s v="Customer 114"/>
    <x v="2"/>
    <x v="3"/>
    <x v="2"/>
    <x v="4"/>
    <n v="19"/>
    <n v="8500"/>
    <n v="12000"/>
    <x v="126"/>
    <n v="161500"/>
    <n v="66500"/>
    <n v="0.29166666666666669"/>
  </r>
  <r>
    <s v="ORD1454"/>
    <x v="136"/>
    <s v="Customer 103"/>
    <x v="1"/>
    <x v="0"/>
    <x v="0"/>
    <x v="0"/>
    <n v="5"/>
    <n v="1800"/>
    <n v="2600"/>
    <x v="70"/>
    <n v="9000"/>
    <n v="4000"/>
    <n v="0.30769230769230771"/>
  </r>
  <r>
    <s v="ORD1455"/>
    <x v="99"/>
    <s v="Customer 40"/>
    <x v="2"/>
    <x v="0"/>
    <x v="2"/>
    <x v="4"/>
    <n v="4"/>
    <n v="8500"/>
    <n v="12000"/>
    <x v="103"/>
    <n v="34000"/>
    <n v="14000"/>
    <n v="0.29166666666666669"/>
  </r>
  <r>
    <s v="ORD1456"/>
    <x v="163"/>
    <s v="Customer 47"/>
    <x v="2"/>
    <x v="2"/>
    <x v="1"/>
    <x v="1"/>
    <n v="13"/>
    <n v="15000"/>
    <n v="19500"/>
    <x v="71"/>
    <n v="195000"/>
    <n v="58500"/>
    <n v="0.23076923076923081"/>
  </r>
  <r>
    <s v="ORD1457"/>
    <x v="256"/>
    <s v="Customer 106"/>
    <x v="4"/>
    <x v="2"/>
    <x v="1"/>
    <x v="7"/>
    <n v="18"/>
    <n v="42000"/>
    <n v="55000"/>
    <x v="157"/>
    <n v="756000"/>
    <n v="234000"/>
    <n v="0.23636363636363639"/>
  </r>
  <r>
    <s v="ORD1458"/>
    <x v="11"/>
    <s v="Customer 76"/>
    <x v="4"/>
    <x v="4"/>
    <x v="1"/>
    <x v="2"/>
    <n v="20"/>
    <n v="12000"/>
    <n v="16500"/>
    <x v="125"/>
    <n v="240000"/>
    <n v="90000"/>
    <n v="0.27272727272727271"/>
  </r>
  <r>
    <s v="ORD1459"/>
    <x v="248"/>
    <s v="Customer 7"/>
    <x v="2"/>
    <x v="1"/>
    <x v="1"/>
    <x v="7"/>
    <n v="4"/>
    <n v="42000"/>
    <n v="55000"/>
    <x v="24"/>
    <n v="168000"/>
    <n v="52000"/>
    <n v="0.23636363636363639"/>
  </r>
  <r>
    <s v="ORD1460"/>
    <x v="270"/>
    <s v="Customer 73"/>
    <x v="1"/>
    <x v="3"/>
    <x v="0"/>
    <x v="9"/>
    <n v="5"/>
    <n v="2500"/>
    <n v="3600"/>
    <x v="96"/>
    <n v="12500"/>
    <n v="5500"/>
    <n v="0.30555555555555558"/>
  </r>
  <r>
    <s v="ORD1461"/>
    <x v="271"/>
    <s v="Customer 119"/>
    <x v="2"/>
    <x v="3"/>
    <x v="3"/>
    <x v="5"/>
    <n v="7"/>
    <n v="2800"/>
    <n v="4200"/>
    <x v="7"/>
    <n v="19600"/>
    <n v="9800"/>
    <n v="0.33333333333333331"/>
  </r>
  <r>
    <s v="ORD1462"/>
    <x v="272"/>
    <s v="Customer 68"/>
    <x v="0"/>
    <x v="1"/>
    <x v="0"/>
    <x v="3"/>
    <n v="20"/>
    <n v="400"/>
    <n v="650"/>
    <x v="70"/>
    <n v="8000"/>
    <n v="5000"/>
    <n v="0.38461538461538458"/>
  </r>
  <r>
    <s v="ORD1463"/>
    <x v="10"/>
    <s v="Customer 123"/>
    <x v="1"/>
    <x v="0"/>
    <x v="0"/>
    <x v="9"/>
    <n v="10"/>
    <n v="2500"/>
    <n v="3600"/>
    <x v="25"/>
    <n v="25000"/>
    <n v="11000"/>
    <n v="0.30555555555555558"/>
  </r>
  <r>
    <s v="ORD1464"/>
    <x v="203"/>
    <s v="Customer 87"/>
    <x v="3"/>
    <x v="1"/>
    <x v="1"/>
    <x v="1"/>
    <n v="13"/>
    <n v="15000"/>
    <n v="19500"/>
    <x v="71"/>
    <n v="195000"/>
    <n v="58500"/>
    <n v="0.23076923076923081"/>
  </r>
  <r>
    <s v="ORD1465"/>
    <x v="89"/>
    <s v="Customer 34"/>
    <x v="4"/>
    <x v="3"/>
    <x v="0"/>
    <x v="0"/>
    <n v="17"/>
    <n v="1800"/>
    <n v="2600"/>
    <x v="132"/>
    <n v="30600"/>
    <n v="13600"/>
    <n v="0.30769230769230771"/>
  </r>
  <r>
    <s v="ORD1466"/>
    <x v="164"/>
    <s v="Customer 19"/>
    <x v="2"/>
    <x v="3"/>
    <x v="0"/>
    <x v="0"/>
    <n v="19"/>
    <n v="1800"/>
    <n v="2600"/>
    <x v="8"/>
    <n v="34200"/>
    <n v="15200"/>
    <n v="0.30769230769230771"/>
  </r>
  <r>
    <s v="ORD1467"/>
    <x v="135"/>
    <s v="Customer 77"/>
    <x v="2"/>
    <x v="1"/>
    <x v="0"/>
    <x v="9"/>
    <n v="7"/>
    <n v="2500"/>
    <n v="3600"/>
    <x v="33"/>
    <n v="17500"/>
    <n v="7700"/>
    <n v="0.30555555555555558"/>
  </r>
  <r>
    <s v="ORD1468"/>
    <x v="273"/>
    <s v="Customer 43"/>
    <x v="3"/>
    <x v="1"/>
    <x v="0"/>
    <x v="3"/>
    <n v="13"/>
    <n v="400"/>
    <n v="650"/>
    <x v="117"/>
    <n v="5200"/>
    <n v="3250"/>
    <n v="0.38461538461538458"/>
  </r>
  <r>
    <s v="ORD1469"/>
    <x v="207"/>
    <s v="Customer 77"/>
    <x v="2"/>
    <x v="2"/>
    <x v="1"/>
    <x v="7"/>
    <n v="13"/>
    <n v="42000"/>
    <n v="55000"/>
    <x v="134"/>
    <n v="546000"/>
    <n v="169000"/>
    <n v="0.23636363636363639"/>
  </r>
  <r>
    <s v="ORD1470"/>
    <x v="274"/>
    <s v="Customer 80"/>
    <x v="4"/>
    <x v="2"/>
    <x v="0"/>
    <x v="8"/>
    <n v="2"/>
    <n v="900"/>
    <n v="1500"/>
    <x v="158"/>
    <n v="1800"/>
    <n v="1200"/>
    <n v="0.4"/>
  </r>
  <r>
    <s v="ORD1471"/>
    <x v="99"/>
    <s v="Customer 26"/>
    <x v="0"/>
    <x v="4"/>
    <x v="0"/>
    <x v="6"/>
    <n v="20"/>
    <n v="1800"/>
    <n v="2800"/>
    <x v="87"/>
    <n v="36000"/>
    <n v="20000"/>
    <n v="0.35714285714285721"/>
  </r>
  <r>
    <s v="ORD1472"/>
    <x v="265"/>
    <s v="Customer 8"/>
    <x v="1"/>
    <x v="0"/>
    <x v="0"/>
    <x v="3"/>
    <n v="10"/>
    <n v="400"/>
    <n v="650"/>
    <x v="141"/>
    <n v="4000"/>
    <n v="2500"/>
    <n v="0.38461538461538458"/>
  </r>
  <r>
    <s v="ORD1473"/>
    <x v="275"/>
    <s v="Customer 2"/>
    <x v="3"/>
    <x v="0"/>
    <x v="0"/>
    <x v="0"/>
    <n v="9"/>
    <n v="1800"/>
    <n v="2600"/>
    <x v="147"/>
    <n v="16200"/>
    <n v="7200"/>
    <n v="0.30769230769230771"/>
  </r>
  <r>
    <s v="ORD1474"/>
    <x v="203"/>
    <s v="Customer 136"/>
    <x v="2"/>
    <x v="1"/>
    <x v="2"/>
    <x v="4"/>
    <n v="14"/>
    <n v="8500"/>
    <n v="12000"/>
    <x v="116"/>
    <n v="119000"/>
    <n v="49000"/>
    <n v="0.29166666666666669"/>
  </r>
  <r>
    <s v="ORD1475"/>
    <x v="276"/>
    <s v="Customer 124"/>
    <x v="3"/>
    <x v="5"/>
    <x v="0"/>
    <x v="8"/>
    <n v="20"/>
    <n v="900"/>
    <n v="1500"/>
    <x v="155"/>
    <n v="18000"/>
    <n v="12000"/>
    <n v="0.4"/>
  </r>
  <r>
    <s v="ORD1476"/>
    <x v="133"/>
    <s v="Customer 81"/>
    <x v="2"/>
    <x v="5"/>
    <x v="0"/>
    <x v="6"/>
    <n v="17"/>
    <n v="1800"/>
    <n v="2800"/>
    <x v="107"/>
    <n v="30600"/>
    <n v="17000"/>
    <n v="0.35714285714285721"/>
  </r>
  <r>
    <s v="ORD1477"/>
    <x v="277"/>
    <s v="Customer 40"/>
    <x v="1"/>
    <x v="2"/>
    <x v="0"/>
    <x v="0"/>
    <n v="3"/>
    <n v="1800"/>
    <n v="2600"/>
    <x v="60"/>
    <n v="5400"/>
    <n v="2400"/>
    <n v="0.30769230769230771"/>
  </r>
  <r>
    <s v="ORD1478"/>
    <x v="153"/>
    <s v="Customer 81"/>
    <x v="1"/>
    <x v="0"/>
    <x v="0"/>
    <x v="6"/>
    <n v="5"/>
    <n v="1800"/>
    <n v="2800"/>
    <x v="29"/>
    <n v="9000"/>
    <n v="5000"/>
    <n v="0.35714285714285721"/>
  </r>
  <r>
    <s v="ORD1479"/>
    <x v="49"/>
    <s v="Customer 60"/>
    <x v="2"/>
    <x v="3"/>
    <x v="1"/>
    <x v="1"/>
    <n v="16"/>
    <n v="15000"/>
    <n v="19500"/>
    <x v="104"/>
    <n v="240000"/>
    <n v="72000"/>
    <n v="0.23076923076923081"/>
  </r>
  <r>
    <s v="ORD1480"/>
    <x v="141"/>
    <s v="Customer 61"/>
    <x v="1"/>
    <x v="0"/>
    <x v="1"/>
    <x v="1"/>
    <n v="4"/>
    <n v="15000"/>
    <n v="19500"/>
    <x v="94"/>
    <n v="60000"/>
    <n v="18000"/>
    <n v="0.23076923076923081"/>
  </r>
  <r>
    <s v="ORD1481"/>
    <x v="278"/>
    <s v="Customer 130"/>
    <x v="2"/>
    <x v="5"/>
    <x v="2"/>
    <x v="4"/>
    <n v="20"/>
    <n v="8500"/>
    <n v="12000"/>
    <x v="39"/>
    <n v="170000"/>
    <n v="70000"/>
    <n v="0.29166666666666669"/>
  </r>
  <r>
    <s v="ORD1482"/>
    <x v="104"/>
    <s v="Customer 119"/>
    <x v="3"/>
    <x v="5"/>
    <x v="0"/>
    <x v="9"/>
    <n v="4"/>
    <n v="2500"/>
    <n v="3600"/>
    <x v="148"/>
    <n v="10000"/>
    <n v="4400"/>
    <n v="0.30555555555555558"/>
  </r>
  <r>
    <s v="ORD1483"/>
    <x v="279"/>
    <s v="Customer 130"/>
    <x v="3"/>
    <x v="3"/>
    <x v="0"/>
    <x v="9"/>
    <n v="9"/>
    <n v="2500"/>
    <n v="3600"/>
    <x v="35"/>
    <n v="22500"/>
    <n v="9900"/>
    <n v="0.30555555555555558"/>
  </r>
  <r>
    <s v="ORD1484"/>
    <x v="104"/>
    <s v="Customer 70"/>
    <x v="0"/>
    <x v="1"/>
    <x v="1"/>
    <x v="1"/>
    <n v="5"/>
    <n v="15000"/>
    <n v="19500"/>
    <x v="23"/>
    <n v="75000"/>
    <n v="22500"/>
    <n v="0.23076923076923081"/>
  </r>
  <r>
    <s v="ORD1485"/>
    <x v="280"/>
    <s v="Customer 33"/>
    <x v="2"/>
    <x v="1"/>
    <x v="0"/>
    <x v="8"/>
    <n v="6"/>
    <n v="900"/>
    <n v="1500"/>
    <x v="62"/>
    <n v="5400"/>
    <n v="3600"/>
    <n v="0.4"/>
  </r>
  <r>
    <s v="ORD1486"/>
    <x v="257"/>
    <s v="Customer 66"/>
    <x v="1"/>
    <x v="5"/>
    <x v="0"/>
    <x v="9"/>
    <n v="1"/>
    <n v="2500"/>
    <n v="3600"/>
    <x v="63"/>
    <n v="2500"/>
    <n v="1100"/>
    <n v="0.30555555555555558"/>
  </r>
  <r>
    <s v="ORD1487"/>
    <x v="134"/>
    <s v="Customer 148"/>
    <x v="4"/>
    <x v="1"/>
    <x v="0"/>
    <x v="3"/>
    <n v="6"/>
    <n v="400"/>
    <n v="650"/>
    <x v="102"/>
    <n v="2400"/>
    <n v="1500"/>
    <n v="0.38461538461538458"/>
  </r>
  <r>
    <s v="ORD1488"/>
    <x v="158"/>
    <s v="Customer 83"/>
    <x v="1"/>
    <x v="5"/>
    <x v="2"/>
    <x v="4"/>
    <n v="19"/>
    <n v="8500"/>
    <n v="12000"/>
    <x v="126"/>
    <n v="161500"/>
    <n v="66500"/>
    <n v="0.29166666666666669"/>
  </r>
  <r>
    <s v="ORD1489"/>
    <x v="264"/>
    <s v="Customer 143"/>
    <x v="3"/>
    <x v="5"/>
    <x v="1"/>
    <x v="7"/>
    <n v="4"/>
    <n v="42000"/>
    <n v="55000"/>
    <x v="24"/>
    <n v="168000"/>
    <n v="52000"/>
    <n v="0.23636363636363639"/>
  </r>
  <r>
    <s v="ORD1490"/>
    <x v="263"/>
    <s v="Customer 145"/>
    <x v="1"/>
    <x v="2"/>
    <x v="0"/>
    <x v="8"/>
    <n v="11"/>
    <n v="900"/>
    <n v="1500"/>
    <x v="2"/>
    <n v="9900"/>
    <n v="6600"/>
    <n v="0.4"/>
  </r>
  <r>
    <s v="ORD1491"/>
    <x v="106"/>
    <s v="Customer 52"/>
    <x v="4"/>
    <x v="1"/>
    <x v="0"/>
    <x v="8"/>
    <n v="9"/>
    <n v="900"/>
    <n v="1500"/>
    <x v="129"/>
    <n v="8100"/>
    <n v="5400"/>
    <n v="0.4"/>
  </r>
  <r>
    <s v="ORD1492"/>
    <x v="281"/>
    <s v="Customer 42"/>
    <x v="1"/>
    <x v="3"/>
    <x v="0"/>
    <x v="9"/>
    <n v="19"/>
    <n v="2500"/>
    <n v="3600"/>
    <x v="128"/>
    <n v="47500"/>
    <n v="20900"/>
    <n v="0.30555555555555558"/>
  </r>
  <r>
    <s v="ORD1493"/>
    <x v="54"/>
    <s v="Customer 18"/>
    <x v="1"/>
    <x v="1"/>
    <x v="0"/>
    <x v="9"/>
    <n v="2"/>
    <n v="2500"/>
    <n v="3600"/>
    <x v="45"/>
    <n v="5000"/>
    <n v="2200"/>
    <n v="0.30555555555555558"/>
  </r>
  <r>
    <s v="ORD1494"/>
    <x v="210"/>
    <s v="Customer 68"/>
    <x v="4"/>
    <x v="0"/>
    <x v="2"/>
    <x v="4"/>
    <n v="14"/>
    <n v="8500"/>
    <n v="12000"/>
    <x v="116"/>
    <n v="119000"/>
    <n v="49000"/>
    <n v="0.29166666666666669"/>
  </r>
  <r>
    <s v="ORD1495"/>
    <x v="22"/>
    <s v="Customer 112"/>
    <x v="2"/>
    <x v="1"/>
    <x v="1"/>
    <x v="1"/>
    <n v="3"/>
    <n v="15000"/>
    <n v="19500"/>
    <x v="77"/>
    <n v="45000"/>
    <n v="13500"/>
    <n v="0.23076923076923081"/>
  </r>
  <r>
    <s v="ORD1496"/>
    <x v="282"/>
    <s v="Customer 147"/>
    <x v="4"/>
    <x v="3"/>
    <x v="0"/>
    <x v="6"/>
    <n v="16"/>
    <n v="1800"/>
    <n v="2800"/>
    <x v="83"/>
    <n v="28800"/>
    <n v="16000"/>
    <n v="0.35714285714285721"/>
  </r>
  <r>
    <s v="ORD1497"/>
    <x v="76"/>
    <s v="Customer 56"/>
    <x v="4"/>
    <x v="4"/>
    <x v="0"/>
    <x v="3"/>
    <n v="12"/>
    <n v="400"/>
    <n v="650"/>
    <x v="60"/>
    <n v="4800"/>
    <n v="3000"/>
    <n v="0.38461538461538458"/>
  </r>
  <r>
    <s v="ORD1498"/>
    <x v="283"/>
    <s v="Customer 133"/>
    <x v="3"/>
    <x v="0"/>
    <x v="3"/>
    <x v="5"/>
    <n v="13"/>
    <n v="2800"/>
    <n v="4200"/>
    <x v="82"/>
    <n v="36400"/>
    <n v="18200"/>
    <n v="0.33333333333333331"/>
  </r>
  <r>
    <s v="ORD1499"/>
    <x v="284"/>
    <s v="Customer 8"/>
    <x v="2"/>
    <x v="1"/>
    <x v="0"/>
    <x v="6"/>
    <n v="4"/>
    <n v="1800"/>
    <n v="2800"/>
    <x v="85"/>
    <n v="7200"/>
    <n v="4000"/>
    <n v="0.35714285714285721"/>
  </r>
  <r>
    <s v="ORD1500"/>
    <x v="100"/>
    <s v="Customer 36"/>
    <x v="3"/>
    <x v="3"/>
    <x v="2"/>
    <x v="4"/>
    <n v="20"/>
    <n v="8500"/>
    <n v="12000"/>
    <x v="39"/>
    <n v="170000"/>
    <n v="70000"/>
    <n v="0.29166666666666669"/>
  </r>
  <r>
    <s v="ORD1501"/>
    <x v="276"/>
    <s v="Customer 134"/>
    <x v="2"/>
    <x v="5"/>
    <x v="2"/>
    <x v="4"/>
    <n v="15"/>
    <n v="8500"/>
    <n v="12000"/>
    <x v="138"/>
    <n v="127500"/>
    <n v="52500"/>
    <n v="0.29166666666666669"/>
  </r>
  <r>
    <s v="ORD1502"/>
    <x v="285"/>
    <s v="Customer 138"/>
    <x v="0"/>
    <x v="5"/>
    <x v="2"/>
    <x v="4"/>
    <n v="7"/>
    <n v="8500"/>
    <n v="12000"/>
    <x v="98"/>
    <n v="59500"/>
    <n v="24500"/>
    <n v="0.29166666666666669"/>
  </r>
  <r>
    <s v="ORD1503"/>
    <x v="39"/>
    <s v="Customer 123"/>
    <x v="2"/>
    <x v="1"/>
    <x v="0"/>
    <x v="3"/>
    <n v="19"/>
    <n v="400"/>
    <n v="650"/>
    <x v="146"/>
    <n v="7600"/>
    <n v="4750"/>
    <n v="0.38461538461538458"/>
  </r>
  <r>
    <s v="ORD1504"/>
    <x v="286"/>
    <s v="Customer 50"/>
    <x v="2"/>
    <x v="5"/>
    <x v="1"/>
    <x v="7"/>
    <n v="4"/>
    <n v="42000"/>
    <n v="55000"/>
    <x v="24"/>
    <n v="168000"/>
    <n v="52000"/>
    <n v="0.23636363636363639"/>
  </r>
  <r>
    <s v="ORD1505"/>
    <x v="148"/>
    <s v="Customer 132"/>
    <x v="0"/>
    <x v="2"/>
    <x v="1"/>
    <x v="1"/>
    <n v="10"/>
    <n v="15000"/>
    <n v="19500"/>
    <x v="68"/>
    <n v="150000"/>
    <n v="45000"/>
    <n v="0.23076923076923081"/>
  </r>
  <r>
    <s v="ORD1506"/>
    <x v="148"/>
    <s v="Customer 18"/>
    <x v="4"/>
    <x v="4"/>
    <x v="0"/>
    <x v="8"/>
    <n v="5"/>
    <n v="900"/>
    <n v="1500"/>
    <x v="80"/>
    <n v="4500"/>
    <n v="3000"/>
    <n v="0.4"/>
  </r>
  <r>
    <s v="ORD1507"/>
    <x v="15"/>
    <s v="Customer 1"/>
    <x v="1"/>
    <x v="0"/>
    <x v="3"/>
    <x v="5"/>
    <n v="3"/>
    <n v="2800"/>
    <n v="4200"/>
    <x v="123"/>
    <n v="8400"/>
    <n v="4200"/>
    <n v="0.33333333333333331"/>
  </r>
  <r>
    <s v="ORD1508"/>
    <x v="37"/>
    <s v="Customer 146"/>
    <x v="1"/>
    <x v="3"/>
    <x v="2"/>
    <x v="4"/>
    <n v="10"/>
    <n v="8500"/>
    <n v="12000"/>
    <x v="44"/>
    <n v="85000"/>
    <n v="35000"/>
    <n v="0.29166666666666669"/>
  </r>
  <r>
    <s v="ORD1509"/>
    <x v="185"/>
    <s v="Customer 15"/>
    <x v="3"/>
    <x v="3"/>
    <x v="2"/>
    <x v="4"/>
    <n v="3"/>
    <n v="8500"/>
    <n v="12000"/>
    <x v="25"/>
    <n v="25500"/>
    <n v="10500"/>
    <n v="0.29166666666666669"/>
  </r>
  <r>
    <s v="ORD1510"/>
    <x v="215"/>
    <s v="Customer 72"/>
    <x v="1"/>
    <x v="2"/>
    <x v="0"/>
    <x v="9"/>
    <n v="14"/>
    <n v="2500"/>
    <n v="3600"/>
    <x v="59"/>
    <n v="35000"/>
    <n v="15400"/>
    <n v="0.30555555555555558"/>
  </r>
  <r>
    <s v="ORD1511"/>
    <x v="57"/>
    <s v="Customer 84"/>
    <x v="0"/>
    <x v="5"/>
    <x v="1"/>
    <x v="1"/>
    <n v="10"/>
    <n v="15000"/>
    <n v="19500"/>
    <x v="68"/>
    <n v="150000"/>
    <n v="45000"/>
    <n v="0.23076923076923081"/>
  </r>
  <r>
    <s v="ORD1512"/>
    <x v="264"/>
    <s v="Customer 122"/>
    <x v="4"/>
    <x v="0"/>
    <x v="2"/>
    <x v="4"/>
    <n v="9"/>
    <n v="8500"/>
    <n v="12000"/>
    <x v="20"/>
    <n v="76500"/>
    <n v="31500"/>
    <n v="0.29166666666666669"/>
  </r>
  <r>
    <s v="ORD1513"/>
    <x v="287"/>
    <s v="Customer 139"/>
    <x v="2"/>
    <x v="4"/>
    <x v="0"/>
    <x v="0"/>
    <n v="19"/>
    <n v="1800"/>
    <n v="2600"/>
    <x v="8"/>
    <n v="34200"/>
    <n v="15200"/>
    <n v="0.30769230769230771"/>
  </r>
  <r>
    <s v="ORD1514"/>
    <x v="288"/>
    <s v="Customer 98"/>
    <x v="0"/>
    <x v="1"/>
    <x v="0"/>
    <x v="9"/>
    <n v="7"/>
    <n v="2500"/>
    <n v="3600"/>
    <x v="33"/>
    <n v="17500"/>
    <n v="7700"/>
    <n v="0.30555555555555558"/>
  </r>
  <r>
    <s v="ORD1515"/>
    <x v="75"/>
    <s v="Customer 35"/>
    <x v="3"/>
    <x v="1"/>
    <x v="0"/>
    <x v="0"/>
    <n v="8"/>
    <n v="1800"/>
    <n v="2600"/>
    <x v="105"/>
    <n v="14400"/>
    <n v="6400"/>
    <n v="0.30769230769230771"/>
  </r>
  <r>
    <s v="ORD1516"/>
    <x v="289"/>
    <s v="Customer 53"/>
    <x v="3"/>
    <x v="2"/>
    <x v="0"/>
    <x v="3"/>
    <n v="18"/>
    <n v="400"/>
    <n v="650"/>
    <x v="76"/>
    <n v="7200"/>
    <n v="4500"/>
    <n v="0.38461538461538458"/>
  </r>
  <r>
    <s v="ORD1517"/>
    <x v="210"/>
    <s v="Customer 81"/>
    <x v="0"/>
    <x v="5"/>
    <x v="1"/>
    <x v="1"/>
    <n v="3"/>
    <n v="15000"/>
    <n v="19500"/>
    <x v="77"/>
    <n v="45000"/>
    <n v="13500"/>
    <n v="0.23076923076923081"/>
  </r>
  <r>
    <s v="ORD1518"/>
    <x v="232"/>
    <s v="Customer 122"/>
    <x v="3"/>
    <x v="2"/>
    <x v="0"/>
    <x v="9"/>
    <n v="9"/>
    <n v="2500"/>
    <n v="3600"/>
    <x v="35"/>
    <n v="22500"/>
    <n v="9900"/>
    <n v="0.30555555555555558"/>
  </r>
  <r>
    <s v="ORD1519"/>
    <x v="222"/>
    <s v="Customer 25"/>
    <x v="1"/>
    <x v="4"/>
    <x v="2"/>
    <x v="4"/>
    <n v="9"/>
    <n v="8500"/>
    <n v="12000"/>
    <x v="20"/>
    <n v="76500"/>
    <n v="31500"/>
    <n v="0.29166666666666669"/>
  </r>
  <r>
    <s v="ORD1520"/>
    <x v="3"/>
    <s v="Customer 28"/>
    <x v="2"/>
    <x v="5"/>
    <x v="3"/>
    <x v="5"/>
    <n v="1"/>
    <n v="2800"/>
    <n v="4200"/>
    <x v="152"/>
    <n v="2800"/>
    <n v="1400"/>
    <n v="0.33333333333333331"/>
  </r>
  <r>
    <s v="ORD1521"/>
    <x v="165"/>
    <s v="Customer 143"/>
    <x v="1"/>
    <x v="5"/>
    <x v="0"/>
    <x v="3"/>
    <n v="9"/>
    <n v="400"/>
    <n v="650"/>
    <x v="159"/>
    <n v="3600"/>
    <n v="2250"/>
    <n v="0.38461538461538458"/>
  </r>
  <r>
    <s v="ORD1522"/>
    <x v="109"/>
    <s v="Customer 49"/>
    <x v="3"/>
    <x v="1"/>
    <x v="0"/>
    <x v="9"/>
    <n v="9"/>
    <n v="2500"/>
    <n v="3600"/>
    <x v="35"/>
    <n v="22500"/>
    <n v="9900"/>
    <n v="0.30555555555555558"/>
  </r>
  <r>
    <s v="ORD1523"/>
    <x v="0"/>
    <s v="Customer 20"/>
    <x v="0"/>
    <x v="1"/>
    <x v="0"/>
    <x v="9"/>
    <n v="16"/>
    <n v="2500"/>
    <n v="3600"/>
    <x v="143"/>
    <n v="40000"/>
    <n v="17600"/>
    <n v="0.30555555555555558"/>
  </r>
  <r>
    <s v="ORD1524"/>
    <x v="259"/>
    <s v="Customer 134"/>
    <x v="3"/>
    <x v="3"/>
    <x v="0"/>
    <x v="9"/>
    <n v="9"/>
    <n v="2500"/>
    <n v="3600"/>
    <x v="35"/>
    <n v="22500"/>
    <n v="9900"/>
    <n v="0.30555555555555558"/>
  </r>
  <r>
    <s v="ORD1525"/>
    <x v="160"/>
    <s v="Customer 21"/>
    <x v="3"/>
    <x v="2"/>
    <x v="3"/>
    <x v="5"/>
    <n v="17"/>
    <n v="2800"/>
    <n v="4200"/>
    <x v="137"/>
    <n v="47600"/>
    <n v="23800"/>
    <n v="0.33333333333333331"/>
  </r>
  <r>
    <s v="ORD1526"/>
    <x v="290"/>
    <s v="Customer 84"/>
    <x v="0"/>
    <x v="3"/>
    <x v="2"/>
    <x v="4"/>
    <n v="17"/>
    <n v="8500"/>
    <n v="12000"/>
    <x v="54"/>
    <n v="144500"/>
    <n v="59500"/>
    <n v="0.29166666666666669"/>
  </r>
  <r>
    <s v="ORD1527"/>
    <x v="245"/>
    <s v="Customer 61"/>
    <x v="0"/>
    <x v="2"/>
    <x v="0"/>
    <x v="0"/>
    <n v="19"/>
    <n v="1800"/>
    <n v="2600"/>
    <x v="8"/>
    <n v="34200"/>
    <n v="15200"/>
    <n v="0.30769230769230771"/>
  </r>
  <r>
    <s v="ORD1528"/>
    <x v="116"/>
    <s v="Customer 141"/>
    <x v="1"/>
    <x v="2"/>
    <x v="1"/>
    <x v="7"/>
    <n v="5"/>
    <n v="42000"/>
    <n v="55000"/>
    <x v="97"/>
    <n v="210000"/>
    <n v="65000"/>
    <n v="0.23636363636363639"/>
  </r>
  <r>
    <s v="ORD1529"/>
    <x v="68"/>
    <s v="Customer 11"/>
    <x v="1"/>
    <x v="0"/>
    <x v="3"/>
    <x v="5"/>
    <n v="1"/>
    <n v="2800"/>
    <n v="4200"/>
    <x v="152"/>
    <n v="2800"/>
    <n v="1400"/>
    <n v="0.33333333333333331"/>
  </r>
  <r>
    <s v="ORD1530"/>
    <x v="291"/>
    <s v="Customer 53"/>
    <x v="4"/>
    <x v="2"/>
    <x v="1"/>
    <x v="7"/>
    <n v="16"/>
    <n v="42000"/>
    <n v="55000"/>
    <x v="127"/>
    <n v="672000"/>
    <n v="208000"/>
    <n v="0.23636363636363639"/>
  </r>
  <r>
    <s v="ORD1531"/>
    <x v="173"/>
    <s v="Customer 78"/>
    <x v="4"/>
    <x v="3"/>
    <x v="1"/>
    <x v="7"/>
    <n v="8"/>
    <n v="42000"/>
    <n v="55000"/>
    <x v="154"/>
    <n v="336000"/>
    <n v="104000"/>
    <n v="0.23636363636363639"/>
  </r>
  <r>
    <s v="ORD1532"/>
    <x v="19"/>
    <s v="Customer 99"/>
    <x v="1"/>
    <x v="4"/>
    <x v="1"/>
    <x v="2"/>
    <n v="7"/>
    <n v="12000"/>
    <n v="16500"/>
    <x v="139"/>
    <n v="84000"/>
    <n v="31500"/>
    <n v="0.27272727272727271"/>
  </r>
  <r>
    <s v="ORD1533"/>
    <x v="65"/>
    <s v="Customer 106"/>
    <x v="3"/>
    <x v="3"/>
    <x v="0"/>
    <x v="0"/>
    <n v="1"/>
    <n v="1800"/>
    <n v="2600"/>
    <x v="18"/>
    <n v="1800"/>
    <n v="800"/>
    <n v="0.30769230769230771"/>
  </r>
  <r>
    <s v="ORD1534"/>
    <x v="191"/>
    <s v="Customer 47"/>
    <x v="1"/>
    <x v="4"/>
    <x v="0"/>
    <x v="3"/>
    <n v="9"/>
    <n v="400"/>
    <n v="650"/>
    <x v="159"/>
    <n v="3600"/>
    <n v="2250"/>
    <n v="0.38461538461538458"/>
  </r>
  <r>
    <s v="ORD1535"/>
    <x v="292"/>
    <s v="Customer 11"/>
    <x v="4"/>
    <x v="0"/>
    <x v="1"/>
    <x v="7"/>
    <n v="10"/>
    <n v="42000"/>
    <n v="55000"/>
    <x v="72"/>
    <n v="420000"/>
    <n v="130000"/>
    <n v="0.23636363636363639"/>
  </r>
  <r>
    <s v="ORD1536"/>
    <x v="75"/>
    <s v="Customer 122"/>
    <x v="0"/>
    <x v="2"/>
    <x v="1"/>
    <x v="2"/>
    <n v="14"/>
    <n v="12000"/>
    <n v="16500"/>
    <x v="115"/>
    <n v="168000"/>
    <n v="63000"/>
    <n v="0.27272727272727271"/>
  </r>
  <r>
    <s v="ORD1537"/>
    <x v="179"/>
    <s v="Customer 13"/>
    <x v="2"/>
    <x v="4"/>
    <x v="1"/>
    <x v="2"/>
    <n v="3"/>
    <n v="12000"/>
    <n v="16500"/>
    <x v="38"/>
    <n v="36000"/>
    <n v="13500"/>
    <n v="0.27272727272727271"/>
  </r>
  <r>
    <s v="ORD1538"/>
    <x v="143"/>
    <s v="Customer 27"/>
    <x v="1"/>
    <x v="5"/>
    <x v="3"/>
    <x v="5"/>
    <n v="18"/>
    <n v="2800"/>
    <n v="4200"/>
    <x v="101"/>
    <n v="50400"/>
    <n v="25200"/>
    <n v="0.33333333333333331"/>
  </r>
  <r>
    <s v="ORD1539"/>
    <x v="293"/>
    <s v="Customer 70"/>
    <x v="3"/>
    <x v="2"/>
    <x v="0"/>
    <x v="8"/>
    <n v="2"/>
    <n v="900"/>
    <n v="1500"/>
    <x v="158"/>
    <n v="1800"/>
    <n v="1200"/>
    <n v="0.4"/>
  </r>
  <r>
    <s v="ORD1540"/>
    <x v="294"/>
    <s v="Customer 76"/>
    <x v="4"/>
    <x v="0"/>
    <x v="0"/>
    <x v="8"/>
    <n v="8"/>
    <n v="900"/>
    <n v="1500"/>
    <x v="65"/>
    <n v="7200"/>
    <n v="4800"/>
    <n v="0.4"/>
  </r>
  <r>
    <s v="ORD1541"/>
    <x v="207"/>
    <s v="Customer 126"/>
    <x v="3"/>
    <x v="1"/>
    <x v="1"/>
    <x v="2"/>
    <n v="6"/>
    <n v="12000"/>
    <n v="16500"/>
    <x v="99"/>
    <n v="72000"/>
    <n v="27000"/>
    <n v="0.27272727272727271"/>
  </r>
  <r>
    <s v="ORD1542"/>
    <x v="246"/>
    <s v="Customer 96"/>
    <x v="3"/>
    <x v="4"/>
    <x v="0"/>
    <x v="6"/>
    <n v="11"/>
    <n v="1800"/>
    <n v="2800"/>
    <x v="118"/>
    <n v="19800"/>
    <n v="11000"/>
    <n v="0.35714285714285721"/>
  </r>
  <r>
    <s v="ORD1543"/>
    <x v="27"/>
    <s v="Customer 142"/>
    <x v="1"/>
    <x v="4"/>
    <x v="0"/>
    <x v="0"/>
    <n v="8"/>
    <n v="1800"/>
    <n v="2600"/>
    <x v="105"/>
    <n v="14400"/>
    <n v="6400"/>
    <n v="0.30769230769230771"/>
  </r>
  <r>
    <s v="ORD1544"/>
    <x v="227"/>
    <s v="Customer 70"/>
    <x v="0"/>
    <x v="1"/>
    <x v="2"/>
    <x v="4"/>
    <n v="10"/>
    <n v="8500"/>
    <n v="12000"/>
    <x v="44"/>
    <n v="85000"/>
    <n v="35000"/>
    <n v="0.29166666666666669"/>
  </r>
  <r>
    <s v="ORD1545"/>
    <x v="46"/>
    <s v="Customer 138"/>
    <x v="2"/>
    <x v="2"/>
    <x v="3"/>
    <x v="5"/>
    <n v="8"/>
    <n v="2800"/>
    <n v="4200"/>
    <x v="100"/>
    <n v="22400"/>
    <n v="11200"/>
    <n v="0.33333333333333331"/>
  </r>
  <r>
    <s v="ORD1546"/>
    <x v="66"/>
    <s v="Customer 124"/>
    <x v="0"/>
    <x v="0"/>
    <x v="1"/>
    <x v="1"/>
    <n v="1"/>
    <n v="15000"/>
    <n v="19500"/>
    <x v="92"/>
    <n v="15000"/>
    <n v="4500"/>
    <n v="0.23076923076923081"/>
  </r>
  <r>
    <s v="ORD1547"/>
    <x v="126"/>
    <s v="Customer 13"/>
    <x v="2"/>
    <x v="4"/>
    <x v="0"/>
    <x v="8"/>
    <n v="1"/>
    <n v="900"/>
    <n v="1500"/>
    <x v="34"/>
    <n v="900"/>
    <n v="600"/>
    <n v="0.4"/>
  </r>
  <r>
    <s v="ORD1548"/>
    <x v="162"/>
    <s v="Customer 97"/>
    <x v="2"/>
    <x v="4"/>
    <x v="0"/>
    <x v="9"/>
    <n v="14"/>
    <n v="2500"/>
    <n v="3600"/>
    <x v="59"/>
    <n v="35000"/>
    <n v="15400"/>
    <n v="0.30555555555555558"/>
  </r>
  <r>
    <s v="ORD1549"/>
    <x v="292"/>
    <s v="Customer 27"/>
    <x v="2"/>
    <x v="4"/>
    <x v="3"/>
    <x v="5"/>
    <n v="9"/>
    <n v="2800"/>
    <n v="4200"/>
    <x v="144"/>
    <n v="25200"/>
    <n v="12600"/>
    <n v="0.33333333333333331"/>
  </r>
  <r>
    <s v="ORD1550"/>
    <x v="171"/>
    <s v="Customer 79"/>
    <x v="1"/>
    <x v="1"/>
    <x v="3"/>
    <x v="5"/>
    <n v="7"/>
    <n v="2800"/>
    <n v="4200"/>
    <x v="7"/>
    <n v="19600"/>
    <n v="9800"/>
    <n v="0.33333333333333331"/>
  </r>
  <r>
    <s v="ORD1551"/>
    <x v="33"/>
    <s v="Customer 118"/>
    <x v="0"/>
    <x v="5"/>
    <x v="0"/>
    <x v="6"/>
    <n v="15"/>
    <n v="1800"/>
    <n v="2800"/>
    <x v="12"/>
    <n v="27000"/>
    <n v="15000"/>
    <n v="0.35714285714285721"/>
  </r>
  <r>
    <s v="ORD1552"/>
    <x v="55"/>
    <s v="Customer 1"/>
    <x v="1"/>
    <x v="2"/>
    <x v="2"/>
    <x v="4"/>
    <n v="13"/>
    <n v="8500"/>
    <n v="12000"/>
    <x v="121"/>
    <n v="110500"/>
    <n v="45500"/>
    <n v="0.29166666666666669"/>
  </r>
  <r>
    <s v="ORD1553"/>
    <x v="295"/>
    <s v="Customer 24"/>
    <x v="0"/>
    <x v="1"/>
    <x v="1"/>
    <x v="7"/>
    <n v="2"/>
    <n v="42000"/>
    <n v="55000"/>
    <x v="16"/>
    <n v="84000"/>
    <n v="26000"/>
    <n v="0.23636363636363639"/>
  </r>
  <r>
    <s v="ORD1554"/>
    <x v="264"/>
    <s v="Customer 98"/>
    <x v="0"/>
    <x v="1"/>
    <x v="1"/>
    <x v="2"/>
    <n v="10"/>
    <n v="12000"/>
    <n v="16500"/>
    <x v="13"/>
    <n v="120000"/>
    <n v="45000"/>
    <n v="0.27272727272727271"/>
  </r>
  <r>
    <s v="ORD1555"/>
    <x v="243"/>
    <s v="Customer 44"/>
    <x v="4"/>
    <x v="2"/>
    <x v="0"/>
    <x v="3"/>
    <n v="13"/>
    <n v="400"/>
    <n v="650"/>
    <x v="117"/>
    <n v="5200"/>
    <n v="3250"/>
    <n v="0.38461538461538458"/>
  </r>
  <r>
    <s v="ORD1556"/>
    <x v="166"/>
    <s v="Customer 84"/>
    <x v="2"/>
    <x v="3"/>
    <x v="0"/>
    <x v="0"/>
    <n v="13"/>
    <n v="1800"/>
    <n v="2600"/>
    <x v="75"/>
    <n v="23400"/>
    <n v="10400"/>
    <n v="0.30769230769230771"/>
  </r>
  <r>
    <s v="ORD1557"/>
    <x v="284"/>
    <s v="Customer 2"/>
    <x v="2"/>
    <x v="4"/>
    <x v="3"/>
    <x v="5"/>
    <n v="9"/>
    <n v="2800"/>
    <n v="4200"/>
    <x v="144"/>
    <n v="25200"/>
    <n v="12600"/>
    <n v="0.33333333333333331"/>
  </r>
  <r>
    <s v="ORD1558"/>
    <x v="22"/>
    <s v="Customer 54"/>
    <x v="3"/>
    <x v="1"/>
    <x v="0"/>
    <x v="9"/>
    <n v="7"/>
    <n v="2500"/>
    <n v="3600"/>
    <x v="33"/>
    <n v="17500"/>
    <n v="7700"/>
    <n v="0.30555555555555558"/>
  </r>
  <r>
    <s v="ORD1559"/>
    <x v="125"/>
    <s v="Customer 150"/>
    <x v="1"/>
    <x v="5"/>
    <x v="0"/>
    <x v="8"/>
    <n v="14"/>
    <n v="900"/>
    <n v="1500"/>
    <x v="41"/>
    <n v="12600"/>
    <n v="8400"/>
    <n v="0.4"/>
  </r>
  <r>
    <s v="ORD1560"/>
    <x v="108"/>
    <s v="Customer 1"/>
    <x v="1"/>
    <x v="4"/>
    <x v="1"/>
    <x v="2"/>
    <n v="16"/>
    <n v="12000"/>
    <n v="16500"/>
    <x v="57"/>
    <n v="192000"/>
    <n v="72000"/>
    <n v="0.27272727272727271"/>
  </r>
  <r>
    <s v="ORD1561"/>
    <x v="296"/>
    <s v="Customer 131"/>
    <x v="2"/>
    <x v="2"/>
    <x v="1"/>
    <x v="2"/>
    <n v="17"/>
    <n v="12000"/>
    <n v="16500"/>
    <x v="160"/>
    <n v="204000"/>
    <n v="76500"/>
    <n v="0.27272727272727271"/>
  </r>
  <r>
    <s v="ORD1562"/>
    <x v="292"/>
    <s v="Customer 58"/>
    <x v="2"/>
    <x v="1"/>
    <x v="3"/>
    <x v="5"/>
    <n v="15"/>
    <n v="2800"/>
    <n v="4200"/>
    <x v="48"/>
    <n v="42000"/>
    <n v="21000"/>
    <n v="0.33333333333333331"/>
  </r>
  <r>
    <s v="ORD1563"/>
    <x v="287"/>
    <s v="Customer 67"/>
    <x v="1"/>
    <x v="1"/>
    <x v="1"/>
    <x v="7"/>
    <n v="16"/>
    <n v="42000"/>
    <n v="55000"/>
    <x v="127"/>
    <n v="672000"/>
    <n v="208000"/>
    <n v="0.23636363636363639"/>
  </r>
  <r>
    <s v="ORD1564"/>
    <x v="297"/>
    <s v="Customer 6"/>
    <x v="0"/>
    <x v="3"/>
    <x v="1"/>
    <x v="7"/>
    <n v="7"/>
    <n v="42000"/>
    <n v="55000"/>
    <x v="119"/>
    <n v="294000"/>
    <n v="91000"/>
    <n v="0.23636363636363639"/>
  </r>
  <r>
    <s v="ORD1565"/>
    <x v="101"/>
    <s v="Customer 104"/>
    <x v="1"/>
    <x v="5"/>
    <x v="0"/>
    <x v="9"/>
    <n v="10"/>
    <n v="2500"/>
    <n v="3600"/>
    <x v="25"/>
    <n v="25000"/>
    <n v="11000"/>
    <n v="0.30555555555555558"/>
  </r>
  <r>
    <s v="ORD1566"/>
    <x v="298"/>
    <s v="Customer 70"/>
    <x v="1"/>
    <x v="3"/>
    <x v="1"/>
    <x v="1"/>
    <n v="20"/>
    <n v="15000"/>
    <n v="19500"/>
    <x v="161"/>
    <n v="300000"/>
    <n v="90000"/>
    <n v="0.23076923076923081"/>
  </r>
  <r>
    <s v="ORD1567"/>
    <x v="245"/>
    <s v="Customer 139"/>
    <x v="1"/>
    <x v="5"/>
    <x v="3"/>
    <x v="5"/>
    <n v="1"/>
    <n v="2800"/>
    <n v="4200"/>
    <x v="152"/>
    <n v="2800"/>
    <n v="1400"/>
    <n v="0.33333333333333331"/>
  </r>
  <r>
    <s v="ORD1568"/>
    <x v="129"/>
    <s v="Customer 74"/>
    <x v="3"/>
    <x v="4"/>
    <x v="3"/>
    <x v="5"/>
    <n v="14"/>
    <n v="2800"/>
    <n v="4200"/>
    <x v="133"/>
    <n v="39200"/>
    <n v="19600"/>
    <n v="0.33333333333333331"/>
  </r>
  <r>
    <s v="ORD1569"/>
    <x v="192"/>
    <s v="Customer 43"/>
    <x v="4"/>
    <x v="1"/>
    <x v="1"/>
    <x v="2"/>
    <n v="10"/>
    <n v="12000"/>
    <n v="16500"/>
    <x v="13"/>
    <n v="120000"/>
    <n v="45000"/>
    <n v="0.27272727272727271"/>
  </r>
  <r>
    <s v="ORD1570"/>
    <x v="65"/>
    <s v="Customer 15"/>
    <x v="3"/>
    <x v="2"/>
    <x v="1"/>
    <x v="7"/>
    <n v="3"/>
    <n v="42000"/>
    <n v="55000"/>
    <x v="13"/>
    <n v="126000"/>
    <n v="39000"/>
    <n v="0.23636363636363639"/>
  </r>
  <r>
    <s v="ORD1571"/>
    <x v="10"/>
    <s v="Customer 139"/>
    <x v="4"/>
    <x v="3"/>
    <x v="0"/>
    <x v="8"/>
    <n v="6"/>
    <n v="900"/>
    <n v="1500"/>
    <x v="62"/>
    <n v="5400"/>
    <n v="3600"/>
    <n v="0.4"/>
  </r>
  <r>
    <s v="ORD1572"/>
    <x v="299"/>
    <s v="Customer 30"/>
    <x v="2"/>
    <x v="1"/>
    <x v="0"/>
    <x v="8"/>
    <n v="20"/>
    <n v="900"/>
    <n v="1500"/>
    <x v="155"/>
    <n v="18000"/>
    <n v="12000"/>
    <n v="0.4"/>
  </r>
  <r>
    <s v="ORD1573"/>
    <x v="139"/>
    <s v="Customer 44"/>
    <x v="1"/>
    <x v="5"/>
    <x v="0"/>
    <x v="0"/>
    <n v="18"/>
    <n v="1800"/>
    <n v="2600"/>
    <x v="91"/>
    <n v="32400"/>
    <n v="14400"/>
    <n v="0.30769230769230771"/>
  </r>
  <r>
    <s v="ORD1574"/>
    <x v="36"/>
    <s v="Customer 11"/>
    <x v="4"/>
    <x v="3"/>
    <x v="2"/>
    <x v="4"/>
    <n v="5"/>
    <n v="8500"/>
    <n v="12000"/>
    <x v="5"/>
    <n v="42500"/>
    <n v="17500"/>
    <n v="0.29166666666666669"/>
  </r>
  <r>
    <s v="ORD1575"/>
    <x v="202"/>
    <s v="Customer 108"/>
    <x v="0"/>
    <x v="5"/>
    <x v="0"/>
    <x v="8"/>
    <n v="9"/>
    <n v="900"/>
    <n v="1500"/>
    <x v="129"/>
    <n v="8100"/>
    <n v="5400"/>
    <n v="0.4"/>
  </r>
  <r>
    <s v="ORD1576"/>
    <x v="144"/>
    <s v="Customer 116"/>
    <x v="1"/>
    <x v="2"/>
    <x v="0"/>
    <x v="9"/>
    <n v="3"/>
    <n v="2500"/>
    <n v="3600"/>
    <x v="135"/>
    <n v="7500"/>
    <n v="3300"/>
    <n v="0.30555555555555558"/>
  </r>
  <r>
    <s v="ORD1577"/>
    <x v="300"/>
    <s v="Customer 45"/>
    <x v="3"/>
    <x v="3"/>
    <x v="0"/>
    <x v="3"/>
    <n v="15"/>
    <n v="400"/>
    <n v="650"/>
    <x v="9"/>
    <n v="6000"/>
    <n v="3750"/>
    <n v="0.38461538461538458"/>
  </r>
  <r>
    <s v="ORD1578"/>
    <x v="178"/>
    <s v="Customer 111"/>
    <x v="1"/>
    <x v="1"/>
    <x v="2"/>
    <x v="4"/>
    <n v="12"/>
    <n v="8500"/>
    <n v="12000"/>
    <x v="22"/>
    <n v="102000"/>
    <n v="42000"/>
    <n v="0.29166666666666669"/>
  </r>
  <r>
    <s v="ORD1579"/>
    <x v="301"/>
    <s v="Customer 39"/>
    <x v="3"/>
    <x v="4"/>
    <x v="2"/>
    <x v="4"/>
    <n v="20"/>
    <n v="8500"/>
    <n v="12000"/>
    <x v="39"/>
    <n v="170000"/>
    <n v="70000"/>
    <n v="0.29166666666666669"/>
  </r>
  <r>
    <s v="ORD1580"/>
    <x v="122"/>
    <s v="Customer 61"/>
    <x v="3"/>
    <x v="4"/>
    <x v="0"/>
    <x v="8"/>
    <n v="20"/>
    <n v="900"/>
    <n v="1500"/>
    <x v="155"/>
    <n v="18000"/>
    <n v="12000"/>
    <n v="0.4"/>
  </r>
  <r>
    <s v="ORD1581"/>
    <x v="84"/>
    <s v="Customer 14"/>
    <x v="1"/>
    <x v="0"/>
    <x v="0"/>
    <x v="3"/>
    <n v="13"/>
    <n v="400"/>
    <n v="650"/>
    <x v="117"/>
    <n v="5200"/>
    <n v="3250"/>
    <n v="0.38461538461538458"/>
  </r>
  <r>
    <s v="ORD1582"/>
    <x v="281"/>
    <s v="Customer 35"/>
    <x v="1"/>
    <x v="5"/>
    <x v="0"/>
    <x v="9"/>
    <n v="9"/>
    <n v="2500"/>
    <n v="3600"/>
    <x v="35"/>
    <n v="22500"/>
    <n v="9900"/>
    <n v="0.30555555555555558"/>
  </r>
  <r>
    <s v="ORD1583"/>
    <x v="45"/>
    <s v="Customer 40"/>
    <x v="3"/>
    <x v="4"/>
    <x v="1"/>
    <x v="2"/>
    <n v="20"/>
    <n v="12000"/>
    <n v="16500"/>
    <x v="125"/>
    <n v="240000"/>
    <n v="90000"/>
    <n v="0.27272727272727271"/>
  </r>
  <r>
    <s v="ORD1584"/>
    <x v="302"/>
    <s v="Customer 122"/>
    <x v="3"/>
    <x v="5"/>
    <x v="0"/>
    <x v="8"/>
    <n v="19"/>
    <n v="900"/>
    <n v="1500"/>
    <x v="52"/>
    <n v="17100"/>
    <n v="11400"/>
    <n v="0.4"/>
  </r>
  <r>
    <s v="ORD1585"/>
    <x v="175"/>
    <s v="Customer 102"/>
    <x v="0"/>
    <x v="2"/>
    <x v="2"/>
    <x v="4"/>
    <n v="1"/>
    <n v="8500"/>
    <n v="12000"/>
    <x v="65"/>
    <n v="8500"/>
    <n v="3500"/>
    <n v="0.29166666666666669"/>
  </r>
  <r>
    <s v="ORD1586"/>
    <x v="1"/>
    <s v="Customer 27"/>
    <x v="3"/>
    <x v="2"/>
    <x v="0"/>
    <x v="9"/>
    <n v="17"/>
    <n v="2500"/>
    <n v="3600"/>
    <x v="58"/>
    <n v="42500"/>
    <n v="18700"/>
    <n v="0.30555555555555558"/>
  </r>
  <r>
    <s v="ORD1587"/>
    <x v="303"/>
    <s v="Customer 68"/>
    <x v="0"/>
    <x v="0"/>
    <x v="0"/>
    <x v="0"/>
    <n v="5"/>
    <n v="1800"/>
    <n v="2600"/>
    <x v="70"/>
    <n v="9000"/>
    <n v="4000"/>
    <n v="0.30769230769230771"/>
  </r>
  <r>
    <s v="ORD1588"/>
    <x v="167"/>
    <s v="Customer 89"/>
    <x v="0"/>
    <x v="5"/>
    <x v="0"/>
    <x v="3"/>
    <n v="4"/>
    <n v="400"/>
    <n v="650"/>
    <x v="18"/>
    <n v="1600"/>
    <n v="1000"/>
    <n v="0.38461538461538458"/>
  </r>
  <r>
    <s v="ORD1589"/>
    <x v="304"/>
    <s v="Customer 147"/>
    <x v="2"/>
    <x v="0"/>
    <x v="3"/>
    <x v="5"/>
    <n v="12"/>
    <n v="2800"/>
    <n v="4200"/>
    <x v="59"/>
    <n v="33600"/>
    <n v="16800"/>
    <n v="0.33333333333333331"/>
  </r>
  <r>
    <s v="ORD1590"/>
    <x v="242"/>
    <s v="Customer 114"/>
    <x v="4"/>
    <x v="1"/>
    <x v="0"/>
    <x v="8"/>
    <n v="7"/>
    <n v="900"/>
    <n v="1500"/>
    <x v="17"/>
    <n v="6300"/>
    <n v="4200"/>
    <n v="0.4"/>
  </r>
  <r>
    <s v="ORD1591"/>
    <x v="151"/>
    <s v="Customer 144"/>
    <x v="0"/>
    <x v="0"/>
    <x v="1"/>
    <x v="2"/>
    <n v="12"/>
    <n v="12000"/>
    <n v="16500"/>
    <x v="15"/>
    <n v="144000"/>
    <n v="54000"/>
    <n v="0.27272727272727271"/>
  </r>
  <r>
    <s v="ORD1592"/>
    <x v="305"/>
    <s v="Customer 114"/>
    <x v="2"/>
    <x v="4"/>
    <x v="2"/>
    <x v="4"/>
    <n v="3"/>
    <n v="8500"/>
    <n v="12000"/>
    <x v="25"/>
    <n v="25500"/>
    <n v="10500"/>
    <n v="0.29166666666666669"/>
  </r>
  <r>
    <s v="ORD1593"/>
    <x v="306"/>
    <s v="Customer 108"/>
    <x v="1"/>
    <x v="4"/>
    <x v="0"/>
    <x v="3"/>
    <n v="12"/>
    <n v="400"/>
    <n v="650"/>
    <x v="60"/>
    <n v="4800"/>
    <n v="3000"/>
    <n v="0.38461538461538458"/>
  </r>
  <r>
    <s v="ORD1594"/>
    <x v="110"/>
    <s v="Customer 125"/>
    <x v="2"/>
    <x v="2"/>
    <x v="1"/>
    <x v="2"/>
    <n v="14"/>
    <n v="12000"/>
    <n v="16500"/>
    <x v="115"/>
    <n v="168000"/>
    <n v="63000"/>
    <n v="0.27272727272727271"/>
  </r>
  <r>
    <s v="ORD1595"/>
    <x v="243"/>
    <s v="Customer 21"/>
    <x v="4"/>
    <x v="2"/>
    <x v="1"/>
    <x v="7"/>
    <n v="7"/>
    <n v="42000"/>
    <n v="55000"/>
    <x v="119"/>
    <n v="294000"/>
    <n v="91000"/>
    <n v="0.23636363636363639"/>
  </r>
  <r>
    <s v="ORD1596"/>
    <x v="307"/>
    <s v="Customer 31"/>
    <x v="2"/>
    <x v="3"/>
    <x v="1"/>
    <x v="2"/>
    <n v="12"/>
    <n v="12000"/>
    <n v="16500"/>
    <x v="15"/>
    <n v="144000"/>
    <n v="54000"/>
    <n v="0.27272727272727271"/>
  </r>
  <r>
    <s v="ORD1597"/>
    <x v="12"/>
    <s v="Customer 124"/>
    <x v="0"/>
    <x v="4"/>
    <x v="0"/>
    <x v="0"/>
    <n v="20"/>
    <n v="1800"/>
    <n v="2600"/>
    <x v="142"/>
    <n v="36000"/>
    <n v="16000"/>
    <n v="0.30769230769230771"/>
  </r>
  <r>
    <s v="ORD1598"/>
    <x v="211"/>
    <s v="Customer 20"/>
    <x v="0"/>
    <x v="2"/>
    <x v="0"/>
    <x v="0"/>
    <n v="10"/>
    <n v="1800"/>
    <n v="2600"/>
    <x v="53"/>
    <n v="18000"/>
    <n v="8000"/>
    <n v="0.30769230769230771"/>
  </r>
  <r>
    <s v="ORD1599"/>
    <x v="308"/>
    <s v="Customer 104"/>
    <x v="2"/>
    <x v="1"/>
    <x v="0"/>
    <x v="3"/>
    <n v="6"/>
    <n v="400"/>
    <n v="650"/>
    <x v="102"/>
    <n v="2400"/>
    <n v="1500"/>
    <n v="0.38461538461538458"/>
  </r>
  <r>
    <s v="ORD1600"/>
    <x v="5"/>
    <s v="Customer 138"/>
    <x v="4"/>
    <x v="5"/>
    <x v="0"/>
    <x v="0"/>
    <n v="16"/>
    <n v="1800"/>
    <n v="2600"/>
    <x v="0"/>
    <n v="28800"/>
    <n v="12800"/>
    <n v="0.30769230769230771"/>
  </r>
  <r>
    <s v="ORD1601"/>
    <x v="309"/>
    <s v="Customer 120"/>
    <x v="4"/>
    <x v="1"/>
    <x v="0"/>
    <x v="9"/>
    <n v="12"/>
    <n v="2500"/>
    <n v="3600"/>
    <x v="19"/>
    <n v="30000"/>
    <n v="13200"/>
    <n v="0.30555555555555558"/>
  </r>
  <r>
    <s v="ORD1602"/>
    <x v="300"/>
    <s v="Customer 20"/>
    <x v="2"/>
    <x v="2"/>
    <x v="1"/>
    <x v="1"/>
    <n v="19"/>
    <n v="15000"/>
    <n v="19500"/>
    <x v="162"/>
    <n v="285000"/>
    <n v="85500"/>
    <n v="0.23076923076923081"/>
  </r>
  <r>
    <s v="ORD1603"/>
    <x v="84"/>
    <s v="Customer 80"/>
    <x v="0"/>
    <x v="5"/>
    <x v="2"/>
    <x v="4"/>
    <n v="20"/>
    <n v="8500"/>
    <n v="12000"/>
    <x v="39"/>
    <n v="170000"/>
    <n v="70000"/>
    <n v="0.29166666666666669"/>
  </r>
  <r>
    <s v="ORD1604"/>
    <x v="276"/>
    <s v="Customer 121"/>
    <x v="3"/>
    <x v="3"/>
    <x v="3"/>
    <x v="5"/>
    <n v="16"/>
    <n v="2800"/>
    <n v="4200"/>
    <x v="114"/>
    <n v="44800"/>
    <n v="22400"/>
    <n v="0.33333333333333331"/>
  </r>
  <r>
    <s v="ORD1605"/>
    <x v="308"/>
    <s v="Customer 99"/>
    <x v="4"/>
    <x v="2"/>
    <x v="0"/>
    <x v="0"/>
    <n v="20"/>
    <n v="1800"/>
    <n v="2600"/>
    <x v="142"/>
    <n v="36000"/>
    <n v="16000"/>
    <n v="0.30769230769230771"/>
  </r>
  <r>
    <s v="ORD1606"/>
    <x v="161"/>
    <s v="Customer 133"/>
    <x v="0"/>
    <x v="5"/>
    <x v="1"/>
    <x v="1"/>
    <n v="10"/>
    <n v="15000"/>
    <n v="19500"/>
    <x v="68"/>
    <n v="150000"/>
    <n v="45000"/>
    <n v="0.23076923076923081"/>
  </r>
  <r>
    <s v="ORD1607"/>
    <x v="158"/>
    <s v="Customer 98"/>
    <x v="4"/>
    <x v="3"/>
    <x v="2"/>
    <x v="4"/>
    <n v="18"/>
    <n v="8500"/>
    <n v="12000"/>
    <x v="28"/>
    <n v="153000"/>
    <n v="63000"/>
    <n v="0.29166666666666669"/>
  </r>
  <r>
    <s v="ORD1608"/>
    <x v="261"/>
    <s v="Customer 146"/>
    <x v="4"/>
    <x v="4"/>
    <x v="1"/>
    <x v="2"/>
    <n v="7"/>
    <n v="12000"/>
    <n v="16500"/>
    <x v="139"/>
    <n v="84000"/>
    <n v="31500"/>
    <n v="0.27272727272727271"/>
  </r>
  <r>
    <s v="ORD1609"/>
    <x v="21"/>
    <s v="Customer 114"/>
    <x v="0"/>
    <x v="0"/>
    <x v="2"/>
    <x v="4"/>
    <n v="10"/>
    <n v="8500"/>
    <n v="12000"/>
    <x v="44"/>
    <n v="85000"/>
    <n v="35000"/>
    <n v="0.29166666666666669"/>
  </r>
  <r>
    <s v="ORD1610"/>
    <x v="310"/>
    <s v="Customer 65"/>
    <x v="4"/>
    <x v="5"/>
    <x v="0"/>
    <x v="9"/>
    <n v="10"/>
    <n v="2500"/>
    <n v="3600"/>
    <x v="25"/>
    <n v="25000"/>
    <n v="11000"/>
    <n v="0.30555555555555558"/>
  </r>
  <r>
    <s v="ORD1611"/>
    <x v="95"/>
    <s v="Customer 109"/>
    <x v="1"/>
    <x v="5"/>
    <x v="0"/>
    <x v="6"/>
    <n v="15"/>
    <n v="1800"/>
    <n v="2800"/>
    <x v="12"/>
    <n v="27000"/>
    <n v="15000"/>
    <n v="0.35714285714285721"/>
  </r>
  <r>
    <s v="ORD1612"/>
    <x v="311"/>
    <s v="Customer 148"/>
    <x v="3"/>
    <x v="3"/>
    <x v="1"/>
    <x v="7"/>
    <n v="1"/>
    <n v="42000"/>
    <n v="55000"/>
    <x v="89"/>
    <n v="42000"/>
    <n v="13000"/>
    <n v="0.23636363636363639"/>
  </r>
  <r>
    <s v="ORD1613"/>
    <x v="251"/>
    <s v="Customer 36"/>
    <x v="3"/>
    <x v="4"/>
    <x v="0"/>
    <x v="6"/>
    <n v="11"/>
    <n v="1800"/>
    <n v="2800"/>
    <x v="118"/>
    <n v="19800"/>
    <n v="11000"/>
    <n v="0.35714285714285721"/>
  </r>
  <r>
    <s v="ORD1614"/>
    <x v="312"/>
    <s v="Customer 53"/>
    <x v="3"/>
    <x v="3"/>
    <x v="1"/>
    <x v="1"/>
    <n v="13"/>
    <n v="15000"/>
    <n v="19500"/>
    <x v="71"/>
    <n v="195000"/>
    <n v="58500"/>
    <n v="0.23076923076923081"/>
  </r>
  <r>
    <s v="ORD1615"/>
    <x v="313"/>
    <s v="Customer 125"/>
    <x v="2"/>
    <x v="3"/>
    <x v="3"/>
    <x v="5"/>
    <n v="13"/>
    <n v="2800"/>
    <n v="4200"/>
    <x v="82"/>
    <n v="36400"/>
    <n v="18200"/>
    <n v="0.33333333333333331"/>
  </r>
  <r>
    <s v="ORD1616"/>
    <x v="162"/>
    <s v="Customer 105"/>
    <x v="0"/>
    <x v="3"/>
    <x v="1"/>
    <x v="2"/>
    <n v="13"/>
    <n v="12000"/>
    <n v="16500"/>
    <x v="95"/>
    <n v="156000"/>
    <n v="58500"/>
    <n v="0.27272727272727271"/>
  </r>
  <r>
    <s v="ORD1617"/>
    <x v="270"/>
    <s v="Customer 13"/>
    <x v="4"/>
    <x v="0"/>
    <x v="1"/>
    <x v="2"/>
    <n v="13"/>
    <n v="12000"/>
    <n v="16500"/>
    <x v="95"/>
    <n v="156000"/>
    <n v="58500"/>
    <n v="0.27272727272727271"/>
  </r>
  <r>
    <s v="ORD1618"/>
    <x v="311"/>
    <s v="Customer 117"/>
    <x v="2"/>
    <x v="2"/>
    <x v="0"/>
    <x v="8"/>
    <n v="2"/>
    <n v="900"/>
    <n v="1500"/>
    <x v="158"/>
    <n v="1800"/>
    <n v="1200"/>
    <n v="0.4"/>
  </r>
  <r>
    <s v="ORD1619"/>
    <x v="314"/>
    <s v="Customer 108"/>
    <x v="2"/>
    <x v="0"/>
    <x v="0"/>
    <x v="8"/>
    <n v="14"/>
    <n v="900"/>
    <n v="1500"/>
    <x v="41"/>
    <n v="12600"/>
    <n v="8400"/>
    <n v="0.4"/>
  </r>
  <r>
    <s v="ORD1620"/>
    <x v="200"/>
    <s v="Customer 144"/>
    <x v="3"/>
    <x v="1"/>
    <x v="0"/>
    <x v="8"/>
    <n v="6"/>
    <n v="900"/>
    <n v="1500"/>
    <x v="62"/>
    <n v="5400"/>
    <n v="3600"/>
    <n v="0.4"/>
  </r>
  <r>
    <s v="ORD1621"/>
    <x v="103"/>
    <s v="Customer 39"/>
    <x v="1"/>
    <x v="0"/>
    <x v="2"/>
    <x v="4"/>
    <n v="5"/>
    <n v="8500"/>
    <n v="12000"/>
    <x v="5"/>
    <n v="42500"/>
    <n v="17500"/>
    <n v="0.29166666666666669"/>
  </r>
  <r>
    <s v="ORD1622"/>
    <x v="149"/>
    <s v="Customer 82"/>
    <x v="4"/>
    <x v="1"/>
    <x v="1"/>
    <x v="1"/>
    <n v="12"/>
    <n v="15000"/>
    <n v="19500"/>
    <x v="93"/>
    <n v="180000"/>
    <n v="54000"/>
    <n v="0.23076923076923081"/>
  </r>
  <r>
    <s v="ORD1623"/>
    <x v="116"/>
    <s v="Customer 150"/>
    <x v="2"/>
    <x v="2"/>
    <x v="2"/>
    <x v="4"/>
    <n v="14"/>
    <n v="8500"/>
    <n v="12000"/>
    <x v="116"/>
    <n v="119000"/>
    <n v="49000"/>
    <n v="0.29166666666666669"/>
  </r>
  <r>
    <s v="ORD1624"/>
    <x v="215"/>
    <s v="Customer 146"/>
    <x v="4"/>
    <x v="4"/>
    <x v="3"/>
    <x v="5"/>
    <n v="13"/>
    <n v="2800"/>
    <n v="4200"/>
    <x v="82"/>
    <n v="36400"/>
    <n v="18200"/>
    <n v="0.33333333333333331"/>
  </r>
  <r>
    <s v="ORD1625"/>
    <x v="315"/>
    <s v="Customer 128"/>
    <x v="1"/>
    <x v="5"/>
    <x v="1"/>
    <x v="7"/>
    <n v="9"/>
    <n v="42000"/>
    <n v="55000"/>
    <x v="73"/>
    <n v="378000"/>
    <n v="117000"/>
    <n v="0.23636363636363639"/>
  </r>
  <r>
    <s v="ORD1626"/>
    <x v="119"/>
    <s v="Customer 106"/>
    <x v="0"/>
    <x v="2"/>
    <x v="0"/>
    <x v="3"/>
    <n v="16"/>
    <n v="400"/>
    <n v="650"/>
    <x v="4"/>
    <n v="6400"/>
    <n v="4000"/>
    <n v="0.38461538461538458"/>
  </r>
  <r>
    <s v="ORD1627"/>
    <x v="39"/>
    <s v="Customer 42"/>
    <x v="1"/>
    <x v="1"/>
    <x v="2"/>
    <x v="4"/>
    <n v="12"/>
    <n v="8500"/>
    <n v="12000"/>
    <x v="22"/>
    <n v="102000"/>
    <n v="42000"/>
    <n v="0.29166666666666669"/>
  </r>
  <r>
    <s v="ORD1628"/>
    <x v="116"/>
    <s v="Customer 34"/>
    <x v="2"/>
    <x v="0"/>
    <x v="0"/>
    <x v="3"/>
    <n v="7"/>
    <n v="400"/>
    <n v="650"/>
    <x v="47"/>
    <n v="2800"/>
    <n v="1750"/>
    <n v="0.38461538461538458"/>
  </r>
  <r>
    <s v="ORD1629"/>
    <x v="29"/>
    <s v="Customer 127"/>
    <x v="1"/>
    <x v="5"/>
    <x v="1"/>
    <x v="2"/>
    <n v="9"/>
    <n v="12000"/>
    <n v="16500"/>
    <x v="111"/>
    <n v="108000"/>
    <n v="40500"/>
    <n v="0.27272727272727271"/>
  </r>
  <r>
    <s v="ORD1630"/>
    <x v="145"/>
    <s v="Customer 52"/>
    <x v="3"/>
    <x v="0"/>
    <x v="0"/>
    <x v="8"/>
    <n v="1"/>
    <n v="900"/>
    <n v="1500"/>
    <x v="34"/>
    <n v="900"/>
    <n v="600"/>
    <n v="0.4"/>
  </r>
  <r>
    <s v="ORD1631"/>
    <x v="220"/>
    <s v="Customer 8"/>
    <x v="3"/>
    <x v="4"/>
    <x v="2"/>
    <x v="4"/>
    <n v="5"/>
    <n v="8500"/>
    <n v="12000"/>
    <x v="5"/>
    <n v="42500"/>
    <n v="17500"/>
    <n v="0.29166666666666669"/>
  </r>
  <r>
    <s v="ORD1632"/>
    <x v="252"/>
    <s v="Customer 44"/>
    <x v="0"/>
    <x v="4"/>
    <x v="2"/>
    <x v="4"/>
    <n v="3"/>
    <n v="8500"/>
    <n v="12000"/>
    <x v="25"/>
    <n v="25500"/>
    <n v="10500"/>
    <n v="0.29166666666666669"/>
  </r>
  <r>
    <s v="ORD1633"/>
    <x v="316"/>
    <s v="Customer 13"/>
    <x v="3"/>
    <x v="1"/>
    <x v="0"/>
    <x v="3"/>
    <n v="20"/>
    <n v="400"/>
    <n v="650"/>
    <x v="70"/>
    <n v="8000"/>
    <n v="5000"/>
    <n v="0.38461538461538458"/>
  </r>
  <r>
    <s v="ORD1634"/>
    <x v="259"/>
    <s v="Customer 66"/>
    <x v="3"/>
    <x v="3"/>
    <x v="1"/>
    <x v="2"/>
    <n v="7"/>
    <n v="12000"/>
    <n v="16500"/>
    <x v="139"/>
    <n v="84000"/>
    <n v="31500"/>
    <n v="0.27272727272727271"/>
  </r>
  <r>
    <s v="ORD1635"/>
    <x v="252"/>
    <s v="Customer 13"/>
    <x v="4"/>
    <x v="2"/>
    <x v="3"/>
    <x v="5"/>
    <n v="19"/>
    <n v="2800"/>
    <n v="4200"/>
    <x v="66"/>
    <n v="53200"/>
    <n v="26600"/>
    <n v="0.33333333333333331"/>
  </r>
  <r>
    <s v="ORD1636"/>
    <x v="24"/>
    <s v="Customer 1"/>
    <x v="0"/>
    <x v="0"/>
    <x v="0"/>
    <x v="6"/>
    <n v="15"/>
    <n v="1800"/>
    <n v="2800"/>
    <x v="12"/>
    <n v="27000"/>
    <n v="15000"/>
    <n v="0.35714285714285721"/>
  </r>
  <r>
    <s v="ORD1637"/>
    <x v="112"/>
    <s v="Customer 114"/>
    <x v="3"/>
    <x v="3"/>
    <x v="2"/>
    <x v="4"/>
    <n v="6"/>
    <n v="8500"/>
    <n v="12000"/>
    <x v="122"/>
    <n v="51000"/>
    <n v="21000"/>
    <n v="0.29166666666666669"/>
  </r>
  <r>
    <s v="ORD1638"/>
    <x v="81"/>
    <s v="Customer 147"/>
    <x v="0"/>
    <x v="3"/>
    <x v="1"/>
    <x v="7"/>
    <n v="17"/>
    <n v="42000"/>
    <n v="55000"/>
    <x v="108"/>
    <n v="714000"/>
    <n v="221000"/>
    <n v="0.23636363636363639"/>
  </r>
  <r>
    <s v="ORD1639"/>
    <x v="167"/>
    <s v="Customer 36"/>
    <x v="0"/>
    <x v="0"/>
    <x v="1"/>
    <x v="2"/>
    <n v="6"/>
    <n v="12000"/>
    <n v="16500"/>
    <x v="99"/>
    <n v="72000"/>
    <n v="27000"/>
    <n v="0.27272727272727271"/>
  </r>
  <r>
    <s v="ORD1640"/>
    <x v="293"/>
    <s v="Customer 127"/>
    <x v="0"/>
    <x v="0"/>
    <x v="1"/>
    <x v="2"/>
    <n v="15"/>
    <n v="12000"/>
    <n v="16500"/>
    <x v="37"/>
    <n v="180000"/>
    <n v="67500"/>
    <n v="0.27272727272727271"/>
  </r>
  <r>
    <s v="ORD1641"/>
    <x v="97"/>
    <s v="Customer 76"/>
    <x v="3"/>
    <x v="3"/>
    <x v="1"/>
    <x v="2"/>
    <n v="12"/>
    <n v="12000"/>
    <n v="16500"/>
    <x v="15"/>
    <n v="144000"/>
    <n v="54000"/>
    <n v="0.27272727272727271"/>
  </r>
  <r>
    <s v="ORD1642"/>
    <x v="121"/>
    <s v="Customer 124"/>
    <x v="1"/>
    <x v="0"/>
    <x v="1"/>
    <x v="1"/>
    <n v="11"/>
    <n v="15000"/>
    <n v="19500"/>
    <x v="95"/>
    <n v="165000"/>
    <n v="49500"/>
    <n v="0.23076923076923081"/>
  </r>
  <r>
    <s v="ORD1643"/>
    <x v="197"/>
    <s v="Customer 73"/>
    <x v="3"/>
    <x v="1"/>
    <x v="0"/>
    <x v="3"/>
    <n v="19"/>
    <n v="400"/>
    <n v="650"/>
    <x v="146"/>
    <n v="7600"/>
    <n v="4750"/>
    <n v="0.38461538461538458"/>
  </r>
  <r>
    <s v="ORD1644"/>
    <x v="203"/>
    <s v="Customer 24"/>
    <x v="2"/>
    <x v="2"/>
    <x v="1"/>
    <x v="2"/>
    <n v="1"/>
    <n v="12000"/>
    <n v="16500"/>
    <x v="2"/>
    <n v="12000"/>
    <n v="4500"/>
    <n v="0.27272727272727271"/>
  </r>
  <r>
    <s v="ORD1645"/>
    <x v="317"/>
    <s v="Customer 67"/>
    <x v="0"/>
    <x v="1"/>
    <x v="1"/>
    <x v="1"/>
    <n v="2"/>
    <n v="15000"/>
    <n v="19500"/>
    <x v="1"/>
    <n v="30000"/>
    <n v="9000"/>
    <n v="0.23076923076923081"/>
  </r>
  <r>
    <s v="ORD1646"/>
    <x v="3"/>
    <s v="Customer 98"/>
    <x v="3"/>
    <x v="3"/>
    <x v="0"/>
    <x v="3"/>
    <n v="5"/>
    <n v="400"/>
    <n v="650"/>
    <x v="86"/>
    <n v="2000"/>
    <n v="1250"/>
    <n v="0.38461538461538458"/>
  </r>
  <r>
    <s v="ORD1647"/>
    <x v="138"/>
    <s v="Customer 121"/>
    <x v="1"/>
    <x v="1"/>
    <x v="0"/>
    <x v="0"/>
    <n v="8"/>
    <n v="1800"/>
    <n v="2600"/>
    <x v="105"/>
    <n v="14400"/>
    <n v="6400"/>
    <n v="0.30769230769230771"/>
  </r>
  <r>
    <s v="ORD1648"/>
    <x v="66"/>
    <s v="Customer 83"/>
    <x v="2"/>
    <x v="5"/>
    <x v="0"/>
    <x v="9"/>
    <n v="2"/>
    <n v="2500"/>
    <n v="3600"/>
    <x v="45"/>
    <n v="5000"/>
    <n v="2200"/>
    <n v="0.30555555555555558"/>
  </r>
  <r>
    <s v="ORD1649"/>
    <x v="6"/>
    <s v="Customer 71"/>
    <x v="3"/>
    <x v="2"/>
    <x v="0"/>
    <x v="6"/>
    <n v="10"/>
    <n v="1800"/>
    <n v="2800"/>
    <x v="110"/>
    <n v="18000"/>
    <n v="10000"/>
    <n v="0.35714285714285721"/>
  </r>
  <r>
    <s v="ORD1650"/>
    <x v="318"/>
    <s v="Customer 72"/>
    <x v="4"/>
    <x v="0"/>
    <x v="0"/>
    <x v="8"/>
    <n v="2"/>
    <n v="900"/>
    <n v="1500"/>
    <x v="158"/>
    <n v="1800"/>
    <n v="1200"/>
    <n v="0.4"/>
  </r>
  <r>
    <s v="ORD1651"/>
    <x v="289"/>
    <s v="Customer 45"/>
    <x v="2"/>
    <x v="3"/>
    <x v="3"/>
    <x v="5"/>
    <n v="18"/>
    <n v="2800"/>
    <n v="4200"/>
    <x v="101"/>
    <n v="50400"/>
    <n v="25200"/>
    <n v="0.33333333333333331"/>
  </r>
  <r>
    <s v="ORD1652"/>
    <x v="61"/>
    <s v="Customer 94"/>
    <x v="2"/>
    <x v="0"/>
    <x v="0"/>
    <x v="8"/>
    <n v="16"/>
    <n v="900"/>
    <n v="1500"/>
    <x v="61"/>
    <n v="14400"/>
    <n v="9600"/>
    <n v="0.4"/>
  </r>
  <r>
    <s v="ORD1653"/>
    <x v="319"/>
    <s v="Customer 61"/>
    <x v="4"/>
    <x v="1"/>
    <x v="1"/>
    <x v="1"/>
    <n v="13"/>
    <n v="15000"/>
    <n v="19500"/>
    <x v="71"/>
    <n v="195000"/>
    <n v="58500"/>
    <n v="0.23076923076923081"/>
  </r>
  <r>
    <s v="ORD1654"/>
    <x v="146"/>
    <s v="Customer 93"/>
    <x v="0"/>
    <x v="5"/>
    <x v="0"/>
    <x v="9"/>
    <n v="18"/>
    <n v="2500"/>
    <n v="3600"/>
    <x v="88"/>
    <n v="45000"/>
    <n v="19800"/>
    <n v="0.30555555555555558"/>
  </r>
  <r>
    <s v="ORD1655"/>
    <x v="154"/>
    <s v="Customer 78"/>
    <x v="1"/>
    <x v="1"/>
    <x v="2"/>
    <x v="4"/>
    <n v="3"/>
    <n v="8500"/>
    <n v="12000"/>
    <x v="25"/>
    <n v="25500"/>
    <n v="10500"/>
    <n v="0.29166666666666669"/>
  </r>
  <r>
    <s v="ORD1656"/>
    <x v="16"/>
    <s v="Customer 36"/>
    <x v="4"/>
    <x v="4"/>
    <x v="0"/>
    <x v="3"/>
    <n v="8"/>
    <n v="400"/>
    <n v="650"/>
    <x v="131"/>
    <n v="3200"/>
    <n v="2000"/>
    <n v="0.38461538461538458"/>
  </r>
  <r>
    <s v="ORD1657"/>
    <x v="103"/>
    <s v="Customer 69"/>
    <x v="3"/>
    <x v="5"/>
    <x v="2"/>
    <x v="4"/>
    <n v="3"/>
    <n v="8500"/>
    <n v="12000"/>
    <x v="25"/>
    <n v="25500"/>
    <n v="10500"/>
    <n v="0.29166666666666669"/>
  </r>
  <r>
    <s v="ORD1658"/>
    <x v="320"/>
    <s v="Customer 21"/>
    <x v="1"/>
    <x v="0"/>
    <x v="1"/>
    <x v="7"/>
    <n v="8"/>
    <n v="42000"/>
    <n v="55000"/>
    <x v="154"/>
    <n v="336000"/>
    <n v="104000"/>
    <n v="0.23636363636363639"/>
  </r>
  <r>
    <s v="ORD1659"/>
    <x v="123"/>
    <s v="Customer 25"/>
    <x v="0"/>
    <x v="4"/>
    <x v="1"/>
    <x v="2"/>
    <n v="18"/>
    <n v="12000"/>
    <n v="16500"/>
    <x v="10"/>
    <n v="216000"/>
    <n v="81000"/>
    <n v="0.27272727272727271"/>
  </r>
  <r>
    <s v="ORD1660"/>
    <x v="99"/>
    <s v="Customer 125"/>
    <x v="3"/>
    <x v="3"/>
    <x v="1"/>
    <x v="2"/>
    <n v="2"/>
    <n v="12000"/>
    <n v="16500"/>
    <x v="27"/>
    <n v="24000"/>
    <n v="9000"/>
    <n v="0.27272727272727271"/>
  </r>
  <r>
    <s v="ORD1661"/>
    <x v="6"/>
    <s v="Customer 148"/>
    <x v="4"/>
    <x v="0"/>
    <x v="0"/>
    <x v="3"/>
    <n v="3"/>
    <n v="400"/>
    <n v="650"/>
    <x v="136"/>
    <n v="1200"/>
    <n v="750"/>
    <n v="0.38461538461538458"/>
  </r>
  <r>
    <s v="ORD1662"/>
    <x v="119"/>
    <s v="Customer 141"/>
    <x v="4"/>
    <x v="2"/>
    <x v="0"/>
    <x v="9"/>
    <n v="14"/>
    <n v="2500"/>
    <n v="3600"/>
    <x v="59"/>
    <n v="35000"/>
    <n v="15400"/>
    <n v="0.30555555555555558"/>
  </r>
  <r>
    <s v="ORD1663"/>
    <x v="9"/>
    <s v="Customer 28"/>
    <x v="1"/>
    <x v="5"/>
    <x v="1"/>
    <x v="7"/>
    <n v="12"/>
    <n v="42000"/>
    <n v="55000"/>
    <x v="140"/>
    <n v="504000"/>
    <n v="156000"/>
    <n v="0.23636363636363639"/>
  </r>
  <r>
    <s v="ORD1664"/>
    <x v="274"/>
    <s v="Customer 13"/>
    <x v="3"/>
    <x v="1"/>
    <x v="3"/>
    <x v="5"/>
    <n v="7"/>
    <n v="2800"/>
    <n v="4200"/>
    <x v="7"/>
    <n v="19600"/>
    <n v="9800"/>
    <n v="0.33333333333333331"/>
  </r>
  <r>
    <s v="ORD1665"/>
    <x v="88"/>
    <s v="Customer 79"/>
    <x v="4"/>
    <x v="5"/>
    <x v="1"/>
    <x v="1"/>
    <n v="9"/>
    <n v="15000"/>
    <n v="19500"/>
    <x v="32"/>
    <n v="135000"/>
    <n v="40500"/>
    <n v="0.23076923076923081"/>
  </r>
  <r>
    <s v="ORD1666"/>
    <x v="60"/>
    <s v="Customer 24"/>
    <x v="4"/>
    <x v="2"/>
    <x v="0"/>
    <x v="3"/>
    <n v="9"/>
    <n v="400"/>
    <n v="650"/>
    <x v="159"/>
    <n v="3600"/>
    <n v="2250"/>
    <n v="0.38461538461538458"/>
  </r>
  <r>
    <s v="ORD1667"/>
    <x v="321"/>
    <s v="Customer 119"/>
    <x v="1"/>
    <x v="0"/>
    <x v="0"/>
    <x v="3"/>
    <n v="16"/>
    <n v="400"/>
    <n v="650"/>
    <x v="4"/>
    <n v="6400"/>
    <n v="4000"/>
    <n v="0.38461538461538458"/>
  </r>
  <r>
    <s v="ORD1668"/>
    <x v="157"/>
    <s v="Customer 106"/>
    <x v="0"/>
    <x v="1"/>
    <x v="0"/>
    <x v="6"/>
    <n v="14"/>
    <n v="1800"/>
    <n v="2800"/>
    <x v="124"/>
    <n v="25200"/>
    <n v="14000"/>
    <n v="0.35714285714285721"/>
  </r>
  <r>
    <s v="ORD1669"/>
    <x v="55"/>
    <s v="Customer 129"/>
    <x v="4"/>
    <x v="5"/>
    <x v="3"/>
    <x v="5"/>
    <n v="8"/>
    <n v="2800"/>
    <n v="4200"/>
    <x v="100"/>
    <n v="22400"/>
    <n v="11200"/>
    <n v="0.33333333333333331"/>
  </r>
  <r>
    <s v="ORD1670"/>
    <x v="82"/>
    <s v="Customer 45"/>
    <x v="0"/>
    <x v="0"/>
    <x v="1"/>
    <x v="2"/>
    <n v="2"/>
    <n v="12000"/>
    <n v="16500"/>
    <x v="27"/>
    <n v="24000"/>
    <n v="9000"/>
    <n v="0.27272727272727271"/>
  </r>
  <r>
    <s v="ORD1671"/>
    <x v="61"/>
    <s v="Customer 129"/>
    <x v="4"/>
    <x v="5"/>
    <x v="0"/>
    <x v="9"/>
    <n v="14"/>
    <n v="2500"/>
    <n v="3600"/>
    <x v="59"/>
    <n v="35000"/>
    <n v="15400"/>
    <n v="0.30555555555555558"/>
  </r>
  <r>
    <s v="ORD1672"/>
    <x v="270"/>
    <s v="Customer 43"/>
    <x v="1"/>
    <x v="0"/>
    <x v="0"/>
    <x v="8"/>
    <n v="16"/>
    <n v="900"/>
    <n v="1500"/>
    <x v="61"/>
    <n v="14400"/>
    <n v="9600"/>
    <n v="0.4"/>
  </r>
  <r>
    <s v="ORD1673"/>
    <x v="19"/>
    <s v="Customer 55"/>
    <x v="4"/>
    <x v="0"/>
    <x v="1"/>
    <x v="2"/>
    <n v="7"/>
    <n v="12000"/>
    <n v="16500"/>
    <x v="139"/>
    <n v="84000"/>
    <n v="31500"/>
    <n v="0.27272727272727271"/>
  </r>
  <r>
    <s v="ORD1674"/>
    <x v="104"/>
    <s v="Customer 123"/>
    <x v="2"/>
    <x v="2"/>
    <x v="0"/>
    <x v="0"/>
    <n v="9"/>
    <n v="1800"/>
    <n v="2600"/>
    <x v="147"/>
    <n v="16200"/>
    <n v="7200"/>
    <n v="0.30769230769230771"/>
  </r>
  <r>
    <s v="ORD1675"/>
    <x v="322"/>
    <s v="Customer 90"/>
    <x v="3"/>
    <x v="4"/>
    <x v="1"/>
    <x v="1"/>
    <n v="12"/>
    <n v="15000"/>
    <n v="19500"/>
    <x v="93"/>
    <n v="180000"/>
    <n v="54000"/>
    <n v="0.23076923076923081"/>
  </r>
  <r>
    <s v="ORD1676"/>
    <x v="56"/>
    <s v="Customer 146"/>
    <x v="0"/>
    <x v="4"/>
    <x v="0"/>
    <x v="8"/>
    <n v="15"/>
    <n v="900"/>
    <n v="1500"/>
    <x v="21"/>
    <n v="13500"/>
    <n v="9000"/>
    <n v="0.4"/>
  </r>
  <r>
    <s v="ORD1677"/>
    <x v="38"/>
    <s v="Customer 107"/>
    <x v="4"/>
    <x v="4"/>
    <x v="3"/>
    <x v="5"/>
    <n v="12"/>
    <n v="2800"/>
    <n v="4200"/>
    <x v="59"/>
    <n v="33600"/>
    <n v="16800"/>
    <n v="0.33333333333333331"/>
  </r>
  <r>
    <s v="ORD1678"/>
    <x v="258"/>
    <s v="Customer 98"/>
    <x v="1"/>
    <x v="5"/>
    <x v="1"/>
    <x v="7"/>
    <n v="15"/>
    <n v="42000"/>
    <n v="55000"/>
    <x v="163"/>
    <n v="630000"/>
    <n v="195000"/>
    <n v="0.23636363636363639"/>
  </r>
  <r>
    <s v="ORD1679"/>
    <x v="53"/>
    <s v="Customer 144"/>
    <x v="0"/>
    <x v="4"/>
    <x v="1"/>
    <x v="1"/>
    <n v="6"/>
    <n v="15000"/>
    <n v="19500"/>
    <x v="151"/>
    <n v="90000"/>
    <n v="27000"/>
    <n v="0.23076923076923081"/>
  </r>
  <r>
    <s v="ORD1680"/>
    <x v="242"/>
    <s v="Customer 142"/>
    <x v="0"/>
    <x v="3"/>
    <x v="0"/>
    <x v="6"/>
    <n v="11"/>
    <n v="1800"/>
    <n v="2800"/>
    <x v="118"/>
    <n v="19800"/>
    <n v="11000"/>
    <n v="0.35714285714285721"/>
  </r>
  <r>
    <s v="ORD1681"/>
    <x v="154"/>
    <s v="Customer 42"/>
    <x v="2"/>
    <x v="0"/>
    <x v="0"/>
    <x v="9"/>
    <n v="18"/>
    <n v="2500"/>
    <n v="3600"/>
    <x v="88"/>
    <n v="45000"/>
    <n v="19800"/>
    <n v="0.30555555555555558"/>
  </r>
  <r>
    <s v="ORD1682"/>
    <x v="37"/>
    <s v="Customer 84"/>
    <x v="4"/>
    <x v="5"/>
    <x v="1"/>
    <x v="2"/>
    <n v="4"/>
    <n v="12000"/>
    <n v="16500"/>
    <x v="145"/>
    <n v="48000"/>
    <n v="18000"/>
    <n v="0.27272727272727271"/>
  </r>
  <r>
    <s v="ORD1683"/>
    <x v="50"/>
    <s v="Customer 88"/>
    <x v="2"/>
    <x v="4"/>
    <x v="1"/>
    <x v="7"/>
    <n v="20"/>
    <n v="42000"/>
    <n v="55000"/>
    <x v="149"/>
    <n v="840000"/>
    <n v="260000"/>
    <n v="0.23636363636363639"/>
  </r>
  <r>
    <s v="ORD1684"/>
    <x v="164"/>
    <s v="Customer 135"/>
    <x v="3"/>
    <x v="0"/>
    <x v="2"/>
    <x v="4"/>
    <n v="12"/>
    <n v="8500"/>
    <n v="12000"/>
    <x v="22"/>
    <n v="102000"/>
    <n v="42000"/>
    <n v="0.29166666666666669"/>
  </r>
  <r>
    <s v="ORD1685"/>
    <x v="281"/>
    <s v="Customer 27"/>
    <x v="2"/>
    <x v="0"/>
    <x v="1"/>
    <x v="1"/>
    <n v="17"/>
    <n v="15000"/>
    <n v="19500"/>
    <x v="113"/>
    <n v="255000"/>
    <n v="76500"/>
    <n v="0.23076923076923081"/>
  </r>
  <r>
    <s v="ORD1686"/>
    <x v="241"/>
    <s v="Customer 22"/>
    <x v="4"/>
    <x v="5"/>
    <x v="0"/>
    <x v="3"/>
    <n v="6"/>
    <n v="400"/>
    <n v="650"/>
    <x v="102"/>
    <n v="2400"/>
    <n v="1500"/>
    <n v="0.38461538461538458"/>
  </r>
  <r>
    <s v="ORD1687"/>
    <x v="175"/>
    <s v="Customer 64"/>
    <x v="0"/>
    <x v="1"/>
    <x v="2"/>
    <x v="4"/>
    <n v="12"/>
    <n v="8500"/>
    <n v="12000"/>
    <x v="22"/>
    <n v="102000"/>
    <n v="42000"/>
    <n v="0.29166666666666669"/>
  </r>
  <r>
    <s v="ORD1688"/>
    <x v="292"/>
    <s v="Customer 20"/>
    <x v="0"/>
    <x v="4"/>
    <x v="2"/>
    <x v="4"/>
    <n v="17"/>
    <n v="8500"/>
    <n v="12000"/>
    <x v="54"/>
    <n v="144500"/>
    <n v="59500"/>
    <n v="0.29166666666666669"/>
  </r>
  <r>
    <s v="ORD1689"/>
    <x v="201"/>
    <s v="Customer 146"/>
    <x v="4"/>
    <x v="3"/>
    <x v="0"/>
    <x v="0"/>
    <n v="18"/>
    <n v="1800"/>
    <n v="2600"/>
    <x v="91"/>
    <n v="32400"/>
    <n v="14400"/>
    <n v="0.30769230769230771"/>
  </r>
  <r>
    <s v="ORD1690"/>
    <x v="36"/>
    <s v="Customer 148"/>
    <x v="2"/>
    <x v="2"/>
    <x v="0"/>
    <x v="8"/>
    <n v="19"/>
    <n v="900"/>
    <n v="1500"/>
    <x v="52"/>
    <n v="17100"/>
    <n v="11400"/>
    <n v="0.4"/>
  </r>
  <r>
    <s v="ORD1691"/>
    <x v="274"/>
    <s v="Customer 30"/>
    <x v="4"/>
    <x v="4"/>
    <x v="0"/>
    <x v="8"/>
    <n v="18"/>
    <n v="900"/>
    <n v="1500"/>
    <x v="112"/>
    <n v="16200"/>
    <n v="10800"/>
    <n v="0.4"/>
  </r>
  <r>
    <s v="ORD1692"/>
    <x v="42"/>
    <s v="Customer 89"/>
    <x v="3"/>
    <x v="2"/>
    <x v="0"/>
    <x v="3"/>
    <n v="4"/>
    <n v="400"/>
    <n v="650"/>
    <x v="18"/>
    <n v="1600"/>
    <n v="1000"/>
    <n v="0.38461538461538458"/>
  </r>
  <r>
    <s v="ORD1693"/>
    <x v="277"/>
    <s v="Customer 53"/>
    <x v="2"/>
    <x v="5"/>
    <x v="2"/>
    <x v="4"/>
    <n v="9"/>
    <n v="8500"/>
    <n v="12000"/>
    <x v="20"/>
    <n v="76500"/>
    <n v="31500"/>
    <n v="0.29166666666666669"/>
  </r>
  <r>
    <s v="ORD1694"/>
    <x v="323"/>
    <s v="Customer 144"/>
    <x v="1"/>
    <x v="0"/>
    <x v="0"/>
    <x v="6"/>
    <n v="1"/>
    <n v="1800"/>
    <n v="2800"/>
    <x v="30"/>
    <n v="1800"/>
    <n v="1000"/>
    <n v="0.35714285714285721"/>
  </r>
  <r>
    <s v="ORD1695"/>
    <x v="269"/>
    <s v="Customer 93"/>
    <x v="1"/>
    <x v="2"/>
    <x v="0"/>
    <x v="0"/>
    <n v="8"/>
    <n v="1800"/>
    <n v="2600"/>
    <x v="105"/>
    <n v="14400"/>
    <n v="6400"/>
    <n v="0.30769230769230771"/>
  </r>
  <r>
    <s v="ORD1696"/>
    <x v="235"/>
    <s v="Customer 118"/>
    <x v="0"/>
    <x v="3"/>
    <x v="0"/>
    <x v="8"/>
    <n v="16"/>
    <n v="900"/>
    <n v="1500"/>
    <x v="61"/>
    <n v="14400"/>
    <n v="9600"/>
    <n v="0.4"/>
  </r>
  <r>
    <s v="ORD1697"/>
    <x v="139"/>
    <s v="Customer 91"/>
    <x v="0"/>
    <x v="4"/>
    <x v="1"/>
    <x v="7"/>
    <n v="4"/>
    <n v="42000"/>
    <n v="55000"/>
    <x v="24"/>
    <n v="168000"/>
    <n v="52000"/>
    <n v="0.23636363636363639"/>
  </r>
  <r>
    <s v="ORD1698"/>
    <x v="74"/>
    <s v="Customer 107"/>
    <x v="1"/>
    <x v="4"/>
    <x v="0"/>
    <x v="3"/>
    <n v="9"/>
    <n v="400"/>
    <n v="650"/>
    <x v="159"/>
    <n v="3600"/>
    <n v="2250"/>
    <n v="0.38461538461538458"/>
  </r>
  <r>
    <s v="ORD1699"/>
    <x v="324"/>
    <s v="Customer 121"/>
    <x v="4"/>
    <x v="3"/>
    <x v="0"/>
    <x v="8"/>
    <n v="9"/>
    <n v="900"/>
    <n v="1500"/>
    <x v="129"/>
    <n v="8100"/>
    <n v="5400"/>
    <n v="0.4"/>
  </r>
  <r>
    <s v="ORD1700"/>
    <x v="195"/>
    <s v="Customer 117"/>
    <x v="2"/>
    <x v="3"/>
    <x v="1"/>
    <x v="1"/>
    <n v="19"/>
    <n v="15000"/>
    <n v="19500"/>
    <x v="162"/>
    <n v="285000"/>
    <n v="85500"/>
    <n v="0.23076923076923081"/>
  </r>
  <r>
    <s v="ORD1701"/>
    <x v="30"/>
    <s v="Customer 97"/>
    <x v="2"/>
    <x v="1"/>
    <x v="0"/>
    <x v="3"/>
    <n v="16"/>
    <n v="400"/>
    <n v="650"/>
    <x v="4"/>
    <n v="6400"/>
    <n v="4000"/>
    <n v="0.38461538461538458"/>
  </r>
  <r>
    <s v="ORD1702"/>
    <x v="140"/>
    <s v="Customer 57"/>
    <x v="4"/>
    <x v="2"/>
    <x v="0"/>
    <x v="6"/>
    <n v="6"/>
    <n v="1800"/>
    <n v="2800"/>
    <x v="150"/>
    <n v="10800"/>
    <n v="6000"/>
    <n v="0.35714285714285721"/>
  </r>
  <r>
    <s v="ORD1703"/>
    <x v="76"/>
    <s v="Customer 23"/>
    <x v="4"/>
    <x v="5"/>
    <x v="1"/>
    <x v="2"/>
    <n v="5"/>
    <n v="12000"/>
    <n v="16500"/>
    <x v="67"/>
    <n v="60000"/>
    <n v="22500"/>
    <n v="0.27272727272727271"/>
  </r>
  <r>
    <s v="ORD1704"/>
    <x v="316"/>
    <s v="Customer 103"/>
    <x v="1"/>
    <x v="3"/>
    <x v="1"/>
    <x v="2"/>
    <n v="18"/>
    <n v="12000"/>
    <n v="16500"/>
    <x v="10"/>
    <n v="216000"/>
    <n v="81000"/>
    <n v="0.27272727272727271"/>
  </r>
  <r>
    <s v="ORD1705"/>
    <x v="286"/>
    <s v="Customer 106"/>
    <x v="2"/>
    <x v="3"/>
    <x v="0"/>
    <x v="9"/>
    <n v="7"/>
    <n v="2500"/>
    <n v="3600"/>
    <x v="33"/>
    <n v="17500"/>
    <n v="7700"/>
    <n v="0.30555555555555558"/>
  </r>
  <r>
    <s v="ORD1706"/>
    <x v="251"/>
    <s v="Customer 13"/>
    <x v="1"/>
    <x v="4"/>
    <x v="1"/>
    <x v="2"/>
    <n v="12"/>
    <n v="12000"/>
    <n v="16500"/>
    <x v="15"/>
    <n v="144000"/>
    <n v="54000"/>
    <n v="0.27272727272727271"/>
  </r>
  <r>
    <s v="ORD1707"/>
    <x v="55"/>
    <s v="Customer 70"/>
    <x v="2"/>
    <x v="3"/>
    <x v="3"/>
    <x v="5"/>
    <n v="10"/>
    <n v="2800"/>
    <n v="4200"/>
    <x v="12"/>
    <n v="28000"/>
    <n v="14000"/>
    <n v="0.33333333333333331"/>
  </r>
  <r>
    <s v="ORD1708"/>
    <x v="46"/>
    <s v="Customer 80"/>
    <x v="0"/>
    <x v="3"/>
    <x v="2"/>
    <x v="4"/>
    <n v="1"/>
    <n v="8500"/>
    <n v="12000"/>
    <x v="65"/>
    <n v="8500"/>
    <n v="3500"/>
    <n v="0.29166666666666669"/>
  </r>
  <r>
    <s v="ORD1709"/>
    <x v="217"/>
    <s v="Customer 98"/>
    <x v="2"/>
    <x v="4"/>
    <x v="0"/>
    <x v="9"/>
    <n v="9"/>
    <n v="2500"/>
    <n v="3600"/>
    <x v="35"/>
    <n v="22500"/>
    <n v="9900"/>
    <n v="0.30555555555555558"/>
  </r>
  <r>
    <s v="ORD1710"/>
    <x v="14"/>
    <s v="Customer 114"/>
    <x v="4"/>
    <x v="1"/>
    <x v="0"/>
    <x v="8"/>
    <n v="10"/>
    <n v="900"/>
    <n v="1500"/>
    <x v="74"/>
    <n v="9000"/>
    <n v="6000"/>
    <n v="0.4"/>
  </r>
  <r>
    <s v="ORD1711"/>
    <x v="325"/>
    <s v="Customer 121"/>
    <x v="2"/>
    <x v="0"/>
    <x v="1"/>
    <x v="1"/>
    <n v="2"/>
    <n v="15000"/>
    <n v="19500"/>
    <x v="1"/>
    <n v="30000"/>
    <n v="9000"/>
    <n v="0.23076923076923081"/>
  </r>
  <r>
    <s v="ORD1712"/>
    <x v="225"/>
    <s v="Customer 47"/>
    <x v="2"/>
    <x v="0"/>
    <x v="0"/>
    <x v="0"/>
    <n v="7"/>
    <n v="1800"/>
    <n v="2600"/>
    <x v="120"/>
    <n v="12600"/>
    <n v="5600"/>
    <n v="0.30769230769230771"/>
  </r>
  <r>
    <s v="ORD1713"/>
    <x v="40"/>
    <s v="Customer 142"/>
    <x v="2"/>
    <x v="4"/>
    <x v="0"/>
    <x v="8"/>
    <n v="13"/>
    <n v="900"/>
    <n v="1500"/>
    <x v="92"/>
    <n v="11700"/>
    <n v="7800"/>
    <n v="0.4"/>
  </r>
  <r>
    <s v="ORD1714"/>
    <x v="152"/>
    <s v="Customer 88"/>
    <x v="4"/>
    <x v="2"/>
    <x v="0"/>
    <x v="0"/>
    <n v="12"/>
    <n v="1800"/>
    <n v="2600"/>
    <x v="14"/>
    <n v="21600"/>
    <n v="9600"/>
    <n v="0.30769230769230771"/>
  </r>
  <r>
    <s v="ORD1715"/>
    <x v="326"/>
    <s v="Customer 61"/>
    <x v="3"/>
    <x v="5"/>
    <x v="3"/>
    <x v="5"/>
    <n v="19"/>
    <n v="2800"/>
    <n v="4200"/>
    <x v="66"/>
    <n v="53200"/>
    <n v="26600"/>
    <n v="0.33333333333333331"/>
  </r>
  <r>
    <s v="ORD1716"/>
    <x v="40"/>
    <s v="Customer 16"/>
    <x v="3"/>
    <x v="3"/>
    <x v="0"/>
    <x v="3"/>
    <n v="8"/>
    <n v="400"/>
    <n v="650"/>
    <x v="131"/>
    <n v="3200"/>
    <n v="2000"/>
    <n v="0.38461538461538458"/>
  </r>
  <r>
    <s v="ORD1717"/>
    <x v="314"/>
    <s v="Customer 44"/>
    <x v="4"/>
    <x v="5"/>
    <x v="0"/>
    <x v="3"/>
    <n v="7"/>
    <n v="400"/>
    <n v="650"/>
    <x v="47"/>
    <n v="2800"/>
    <n v="1750"/>
    <n v="0.38461538461538458"/>
  </r>
  <r>
    <s v="ORD1718"/>
    <x v="268"/>
    <s v="Customer 9"/>
    <x v="4"/>
    <x v="2"/>
    <x v="1"/>
    <x v="2"/>
    <n v="10"/>
    <n v="12000"/>
    <n v="16500"/>
    <x v="13"/>
    <n v="120000"/>
    <n v="45000"/>
    <n v="0.27272727272727271"/>
  </r>
  <r>
    <s v="ORD1719"/>
    <x v="5"/>
    <s v="Customer 98"/>
    <x v="4"/>
    <x v="2"/>
    <x v="0"/>
    <x v="3"/>
    <n v="15"/>
    <n v="400"/>
    <n v="650"/>
    <x v="9"/>
    <n v="6000"/>
    <n v="3750"/>
    <n v="0.38461538461538458"/>
  </r>
  <r>
    <s v="ORD1720"/>
    <x v="324"/>
    <s v="Customer 22"/>
    <x v="0"/>
    <x v="2"/>
    <x v="3"/>
    <x v="5"/>
    <n v="18"/>
    <n v="2800"/>
    <n v="4200"/>
    <x v="101"/>
    <n v="50400"/>
    <n v="25200"/>
    <n v="0.33333333333333331"/>
  </r>
  <r>
    <s v="ORD1721"/>
    <x v="66"/>
    <s v="Customer 138"/>
    <x v="2"/>
    <x v="0"/>
    <x v="0"/>
    <x v="8"/>
    <n v="9"/>
    <n v="900"/>
    <n v="1500"/>
    <x v="129"/>
    <n v="8100"/>
    <n v="5400"/>
    <n v="0.4"/>
  </r>
  <r>
    <s v="ORD1722"/>
    <x v="86"/>
    <s v="Customer 84"/>
    <x v="3"/>
    <x v="4"/>
    <x v="0"/>
    <x v="9"/>
    <n v="8"/>
    <n v="2500"/>
    <n v="3600"/>
    <x v="106"/>
    <n v="20000"/>
    <n v="8800"/>
    <n v="0.30555555555555558"/>
  </r>
  <r>
    <s v="ORD1723"/>
    <x v="71"/>
    <s v="Customer 133"/>
    <x v="1"/>
    <x v="3"/>
    <x v="1"/>
    <x v="1"/>
    <n v="11"/>
    <n v="15000"/>
    <n v="19500"/>
    <x v="95"/>
    <n v="165000"/>
    <n v="49500"/>
    <n v="0.23076923076923081"/>
  </r>
  <r>
    <s v="ORD1724"/>
    <x v="184"/>
    <s v="Customer 120"/>
    <x v="1"/>
    <x v="3"/>
    <x v="3"/>
    <x v="5"/>
    <n v="1"/>
    <n v="2800"/>
    <n v="4200"/>
    <x v="152"/>
    <n v="2800"/>
    <n v="1400"/>
    <n v="0.33333333333333331"/>
  </r>
  <r>
    <s v="ORD1725"/>
    <x v="238"/>
    <s v="Customer 148"/>
    <x v="2"/>
    <x v="2"/>
    <x v="0"/>
    <x v="9"/>
    <n v="1"/>
    <n v="2500"/>
    <n v="3600"/>
    <x v="63"/>
    <n v="2500"/>
    <n v="1100"/>
    <n v="0.30555555555555558"/>
  </r>
  <r>
    <s v="ORD1726"/>
    <x v="19"/>
    <s v="Customer 26"/>
    <x v="4"/>
    <x v="1"/>
    <x v="1"/>
    <x v="2"/>
    <n v="4"/>
    <n v="12000"/>
    <n v="16500"/>
    <x v="145"/>
    <n v="48000"/>
    <n v="18000"/>
    <n v="0.27272727272727271"/>
  </r>
  <r>
    <s v="ORD1727"/>
    <x v="147"/>
    <s v="Customer 96"/>
    <x v="2"/>
    <x v="5"/>
    <x v="0"/>
    <x v="0"/>
    <n v="16"/>
    <n v="1800"/>
    <n v="2600"/>
    <x v="0"/>
    <n v="28800"/>
    <n v="12800"/>
    <n v="0.30769230769230771"/>
  </r>
  <r>
    <s v="ORD1728"/>
    <x v="317"/>
    <s v="Customer 73"/>
    <x v="4"/>
    <x v="2"/>
    <x v="2"/>
    <x v="4"/>
    <n v="3"/>
    <n v="8500"/>
    <n v="12000"/>
    <x v="25"/>
    <n v="25500"/>
    <n v="10500"/>
    <n v="0.29166666666666669"/>
  </r>
  <r>
    <s v="ORD1729"/>
    <x v="215"/>
    <s v="Customer 110"/>
    <x v="2"/>
    <x v="3"/>
    <x v="0"/>
    <x v="9"/>
    <n v="2"/>
    <n v="2500"/>
    <n v="3600"/>
    <x v="45"/>
    <n v="5000"/>
    <n v="2200"/>
    <n v="0.30555555555555558"/>
  </r>
  <r>
    <s v="ORD1730"/>
    <x v="142"/>
    <s v="Customer 63"/>
    <x v="0"/>
    <x v="2"/>
    <x v="0"/>
    <x v="0"/>
    <n v="12"/>
    <n v="1800"/>
    <n v="2600"/>
    <x v="14"/>
    <n v="21600"/>
    <n v="9600"/>
    <n v="0.30769230769230771"/>
  </r>
  <r>
    <s v="ORD1731"/>
    <x v="327"/>
    <s v="Customer 31"/>
    <x v="3"/>
    <x v="2"/>
    <x v="1"/>
    <x v="2"/>
    <n v="20"/>
    <n v="12000"/>
    <n v="16500"/>
    <x v="125"/>
    <n v="240000"/>
    <n v="90000"/>
    <n v="0.27272727272727271"/>
  </r>
  <r>
    <s v="ORD1732"/>
    <x v="222"/>
    <s v="Customer 51"/>
    <x v="2"/>
    <x v="1"/>
    <x v="0"/>
    <x v="8"/>
    <n v="12"/>
    <n v="900"/>
    <n v="1500"/>
    <x v="96"/>
    <n v="10800"/>
    <n v="7200"/>
    <n v="0.4"/>
  </r>
  <r>
    <s v="ORD1733"/>
    <x v="304"/>
    <s v="Customer 120"/>
    <x v="2"/>
    <x v="3"/>
    <x v="1"/>
    <x v="7"/>
    <n v="3"/>
    <n v="42000"/>
    <n v="55000"/>
    <x v="13"/>
    <n v="126000"/>
    <n v="39000"/>
    <n v="0.23636363636363639"/>
  </r>
  <r>
    <s v="ORD1734"/>
    <x v="87"/>
    <s v="Customer 114"/>
    <x v="0"/>
    <x v="3"/>
    <x v="0"/>
    <x v="0"/>
    <n v="19"/>
    <n v="1800"/>
    <n v="2600"/>
    <x v="8"/>
    <n v="34200"/>
    <n v="15200"/>
    <n v="0.30769230769230771"/>
  </r>
  <r>
    <s v="ORD1735"/>
    <x v="289"/>
    <s v="Customer 41"/>
    <x v="3"/>
    <x v="0"/>
    <x v="2"/>
    <x v="4"/>
    <n v="14"/>
    <n v="8500"/>
    <n v="12000"/>
    <x v="116"/>
    <n v="119000"/>
    <n v="49000"/>
    <n v="0.29166666666666669"/>
  </r>
  <r>
    <s v="ORD1736"/>
    <x v="47"/>
    <s v="Customer 135"/>
    <x v="1"/>
    <x v="1"/>
    <x v="1"/>
    <x v="2"/>
    <n v="8"/>
    <n v="12000"/>
    <n v="16500"/>
    <x v="31"/>
    <n v="96000"/>
    <n v="36000"/>
    <n v="0.27272727272727271"/>
  </r>
  <r>
    <s v="ORD1737"/>
    <x v="213"/>
    <s v="Customer 129"/>
    <x v="3"/>
    <x v="3"/>
    <x v="0"/>
    <x v="9"/>
    <n v="7"/>
    <n v="2500"/>
    <n v="3600"/>
    <x v="33"/>
    <n v="17500"/>
    <n v="7700"/>
    <n v="0.30555555555555558"/>
  </r>
  <r>
    <s v="ORD1738"/>
    <x v="328"/>
    <s v="Customer 118"/>
    <x v="0"/>
    <x v="1"/>
    <x v="1"/>
    <x v="7"/>
    <n v="10"/>
    <n v="42000"/>
    <n v="55000"/>
    <x v="72"/>
    <n v="420000"/>
    <n v="130000"/>
    <n v="0.23636363636363639"/>
  </r>
  <r>
    <s v="ORD1739"/>
    <x v="82"/>
    <s v="Customer 135"/>
    <x v="1"/>
    <x v="0"/>
    <x v="2"/>
    <x v="4"/>
    <n v="4"/>
    <n v="8500"/>
    <n v="12000"/>
    <x v="103"/>
    <n v="34000"/>
    <n v="14000"/>
    <n v="0.29166666666666669"/>
  </r>
  <r>
    <s v="ORD1740"/>
    <x v="57"/>
    <s v="Customer 99"/>
    <x v="0"/>
    <x v="5"/>
    <x v="1"/>
    <x v="7"/>
    <n v="9"/>
    <n v="42000"/>
    <n v="55000"/>
    <x v="73"/>
    <n v="378000"/>
    <n v="117000"/>
    <n v="0.23636363636363639"/>
  </r>
  <r>
    <s v="ORD1741"/>
    <x v="323"/>
    <s v="Customer 53"/>
    <x v="3"/>
    <x v="4"/>
    <x v="0"/>
    <x v="8"/>
    <n v="13"/>
    <n v="900"/>
    <n v="1500"/>
    <x v="92"/>
    <n v="11700"/>
    <n v="7800"/>
    <n v="0.4"/>
  </r>
  <r>
    <s v="ORD1742"/>
    <x v="283"/>
    <s v="Customer 8"/>
    <x v="1"/>
    <x v="2"/>
    <x v="0"/>
    <x v="9"/>
    <n v="12"/>
    <n v="2500"/>
    <n v="3600"/>
    <x v="19"/>
    <n v="30000"/>
    <n v="13200"/>
    <n v="0.30555555555555558"/>
  </r>
  <r>
    <s v="ORD1743"/>
    <x v="309"/>
    <s v="Customer 147"/>
    <x v="2"/>
    <x v="4"/>
    <x v="2"/>
    <x v="4"/>
    <n v="11"/>
    <n v="8500"/>
    <n v="12000"/>
    <x v="31"/>
    <n v="93500"/>
    <n v="38500"/>
    <n v="0.29166666666666669"/>
  </r>
  <r>
    <s v="ORD1744"/>
    <x v="329"/>
    <s v="Customer 111"/>
    <x v="4"/>
    <x v="3"/>
    <x v="3"/>
    <x v="5"/>
    <n v="15"/>
    <n v="2800"/>
    <n v="4200"/>
    <x v="48"/>
    <n v="42000"/>
    <n v="21000"/>
    <n v="0.33333333333333331"/>
  </r>
  <r>
    <s v="ORD1745"/>
    <x v="298"/>
    <s v="Customer 50"/>
    <x v="4"/>
    <x v="1"/>
    <x v="2"/>
    <x v="4"/>
    <n v="16"/>
    <n v="8500"/>
    <n v="12000"/>
    <x v="42"/>
    <n v="136000"/>
    <n v="56000"/>
    <n v="0.29166666666666669"/>
  </r>
  <r>
    <s v="ORD1746"/>
    <x v="2"/>
    <s v="Customer 25"/>
    <x v="4"/>
    <x v="4"/>
    <x v="1"/>
    <x v="7"/>
    <n v="17"/>
    <n v="42000"/>
    <n v="55000"/>
    <x v="108"/>
    <n v="714000"/>
    <n v="221000"/>
    <n v="0.23636363636363639"/>
  </r>
  <r>
    <s v="ORD1747"/>
    <x v="160"/>
    <s v="Customer 58"/>
    <x v="2"/>
    <x v="5"/>
    <x v="3"/>
    <x v="5"/>
    <n v="1"/>
    <n v="2800"/>
    <n v="4200"/>
    <x v="152"/>
    <n v="2800"/>
    <n v="1400"/>
    <n v="0.33333333333333331"/>
  </r>
  <r>
    <s v="ORD1748"/>
    <x v="145"/>
    <s v="Customer 139"/>
    <x v="2"/>
    <x v="4"/>
    <x v="1"/>
    <x v="2"/>
    <n v="10"/>
    <n v="12000"/>
    <n v="16500"/>
    <x v="13"/>
    <n v="120000"/>
    <n v="45000"/>
    <n v="0.27272727272727271"/>
  </r>
  <r>
    <s v="ORD1749"/>
    <x v="283"/>
    <s v="Customer 142"/>
    <x v="4"/>
    <x v="5"/>
    <x v="0"/>
    <x v="8"/>
    <n v="11"/>
    <n v="900"/>
    <n v="1500"/>
    <x v="2"/>
    <n v="9900"/>
    <n v="6600"/>
    <n v="0.4"/>
  </r>
  <r>
    <s v="ORD1750"/>
    <x v="118"/>
    <s v="Customer 143"/>
    <x v="4"/>
    <x v="1"/>
    <x v="0"/>
    <x v="0"/>
    <n v="19"/>
    <n v="1800"/>
    <n v="2600"/>
    <x v="8"/>
    <n v="34200"/>
    <n v="15200"/>
    <n v="0.30769230769230771"/>
  </r>
  <r>
    <s v="ORD1751"/>
    <x v="252"/>
    <s v="Customer 43"/>
    <x v="0"/>
    <x v="0"/>
    <x v="0"/>
    <x v="6"/>
    <n v="18"/>
    <n v="1800"/>
    <n v="2800"/>
    <x v="59"/>
    <n v="32400"/>
    <n v="18000"/>
    <n v="0.35714285714285721"/>
  </r>
  <r>
    <s v="ORD1752"/>
    <x v="61"/>
    <s v="Customer 71"/>
    <x v="0"/>
    <x v="4"/>
    <x v="1"/>
    <x v="2"/>
    <n v="11"/>
    <n v="12000"/>
    <n v="16500"/>
    <x v="11"/>
    <n v="132000"/>
    <n v="49500"/>
    <n v="0.27272727272727271"/>
  </r>
  <r>
    <s v="ORD1753"/>
    <x v="3"/>
    <s v="Customer 81"/>
    <x v="3"/>
    <x v="1"/>
    <x v="2"/>
    <x v="4"/>
    <n v="20"/>
    <n v="8500"/>
    <n v="12000"/>
    <x v="39"/>
    <n v="170000"/>
    <n v="70000"/>
    <n v="0.29166666666666669"/>
  </r>
  <r>
    <s v="ORD1754"/>
    <x v="161"/>
    <s v="Customer 58"/>
    <x v="1"/>
    <x v="5"/>
    <x v="1"/>
    <x v="7"/>
    <n v="13"/>
    <n v="42000"/>
    <n v="55000"/>
    <x v="134"/>
    <n v="546000"/>
    <n v="169000"/>
    <n v="0.23636363636363639"/>
  </r>
  <r>
    <s v="ORD1755"/>
    <x v="282"/>
    <s v="Customer 41"/>
    <x v="1"/>
    <x v="5"/>
    <x v="2"/>
    <x v="4"/>
    <n v="14"/>
    <n v="8500"/>
    <n v="12000"/>
    <x v="116"/>
    <n v="119000"/>
    <n v="49000"/>
    <n v="0.29166666666666669"/>
  </r>
  <r>
    <s v="ORD1756"/>
    <x v="300"/>
    <s v="Customer 58"/>
    <x v="0"/>
    <x v="1"/>
    <x v="0"/>
    <x v="9"/>
    <n v="11"/>
    <n v="2500"/>
    <n v="3600"/>
    <x v="79"/>
    <n v="27500"/>
    <n v="12100"/>
    <n v="0.30555555555555558"/>
  </r>
  <r>
    <s v="ORD1757"/>
    <x v="257"/>
    <s v="Customer 29"/>
    <x v="1"/>
    <x v="4"/>
    <x v="0"/>
    <x v="6"/>
    <n v="7"/>
    <n v="1800"/>
    <n v="2800"/>
    <x v="130"/>
    <n v="12600"/>
    <n v="7000"/>
    <n v="0.35714285714285721"/>
  </r>
  <r>
    <s v="ORD1758"/>
    <x v="34"/>
    <s v="Customer 16"/>
    <x v="2"/>
    <x v="4"/>
    <x v="1"/>
    <x v="7"/>
    <n v="2"/>
    <n v="42000"/>
    <n v="55000"/>
    <x v="16"/>
    <n v="84000"/>
    <n v="26000"/>
    <n v="0.23636363636363639"/>
  </r>
  <r>
    <s v="ORD1759"/>
    <x v="251"/>
    <s v="Customer 46"/>
    <x v="0"/>
    <x v="4"/>
    <x v="0"/>
    <x v="0"/>
    <n v="9"/>
    <n v="1800"/>
    <n v="2600"/>
    <x v="147"/>
    <n v="16200"/>
    <n v="7200"/>
    <n v="0.30769230769230771"/>
  </r>
  <r>
    <s v="ORD1760"/>
    <x v="157"/>
    <s v="Customer 25"/>
    <x v="3"/>
    <x v="5"/>
    <x v="0"/>
    <x v="3"/>
    <n v="9"/>
    <n v="400"/>
    <n v="650"/>
    <x v="159"/>
    <n v="3600"/>
    <n v="2250"/>
    <n v="0.38461538461538458"/>
  </r>
  <r>
    <s v="ORD1761"/>
    <x v="161"/>
    <s v="Customer 52"/>
    <x v="2"/>
    <x v="4"/>
    <x v="0"/>
    <x v="0"/>
    <n v="14"/>
    <n v="1800"/>
    <n v="2600"/>
    <x v="51"/>
    <n v="25200"/>
    <n v="11200"/>
    <n v="0.30769230769230771"/>
  </r>
  <r>
    <s v="ORD1762"/>
    <x v="43"/>
    <s v="Customer 71"/>
    <x v="4"/>
    <x v="4"/>
    <x v="0"/>
    <x v="9"/>
    <n v="10"/>
    <n v="2500"/>
    <n v="3600"/>
    <x v="25"/>
    <n v="25000"/>
    <n v="11000"/>
    <n v="0.30555555555555558"/>
  </r>
  <r>
    <s v="ORD1763"/>
    <x v="330"/>
    <s v="Customer 136"/>
    <x v="1"/>
    <x v="4"/>
    <x v="3"/>
    <x v="5"/>
    <n v="19"/>
    <n v="2800"/>
    <n v="4200"/>
    <x v="66"/>
    <n v="53200"/>
    <n v="26600"/>
    <n v="0.33333333333333331"/>
  </r>
  <r>
    <s v="ORD1764"/>
    <x v="197"/>
    <s v="Customer 15"/>
    <x v="2"/>
    <x v="0"/>
    <x v="0"/>
    <x v="6"/>
    <n v="1"/>
    <n v="1800"/>
    <n v="2800"/>
    <x v="30"/>
    <n v="1800"/>
    <n v="1000"/>
    <n v="0.35714285714285721"/>
  </r>
  <r>
    <s v="ORD1765"/>
    <x v="183"/>
    <s v="Customer 38"/>
    <x v="3"/>
    <x v="0"/>
    <x v="0"/>
    <x v="0"/>
    <n v="2"/>
    <n v="1800"/>
    <n v="2600"/>
    <x v="131"/>
    <n v="3600"/>
    <n v="1600"/>
    <n v="0.30769230769230771"/>
  </r>
  <r>
    <s v="ORD1766"/>
    <x v="5"/>
    <s v="Customer 61"/>
    <x v="1"/>
    <x v="4"/>
    <x v="0"/>
    <x v="6"/>
    <n v="13"/>
    <n v="1800"/>
    <n v="2800"/>
    <x v="51"/>
    <n v="23400"/>
    <n v="13000"/>
    <n v="0.35714285714285721"/>
  </r>
  <r>
    <s v="ORD1767"/>
    <x v="139"/>
    <s v="Customer 121"/>
    <x v="3"/>
    <x v="4"/>
    <x v="0"/>
    <x v="9"/>
    <n v="17"/>
    <n v="2500"/>
    <n v="3600"/>
    <x v="58"/>
    <n v="42500"/>
    <n v="18700"/>
    <n v="0.30555555555555558"/>
  </r>
  <r>
    <s v="ORD1768"/>
    <x v="31"/>
    <s v="Customer 76"/>
    <x v="3"/>
    <x v="1"/>
    <x v="0"/>
    <x v="0"/>
    <n v="2"/>
    <n v="1800"/>
    <n v="2600"/>
    <x v="131"/>
    <n v="3600"/>
    <n v="1600"/>
    <n v="0.30769230769230771"/>
  </r>
  <r>
    <s v="ORD1769"/>
    <x v="313"/>
    <s v="Customer 143"/>
    <x v="4"/>
    <x v="4"/>
    <x v="0"/>
    <x v="9"/>
    <n v="17"/>
    <n v="2500"/>
    <n v="3600"/>
    <x v="58"/>
    <n v="42500"/>
    <n v="18700"/>
    <n v="0.30555555555555558"/>
  </r>
  <r>
    <s v="ORD1770"/>
    <x v="295"/>
    <s v="Customer 147"/>
    <x v="2"/>
    <x v="2"/>
    <x v="0"/>
    <x v="8"/>
    <n v="7"/>
    <n v="900"/>
    <n v="1500"/>
    <x v="17"/>
    <n v="6300"/>
    <n v="4200"/>
    <n v="0.4"/>
  </r>
  <r>
    <s v="ORD1771"/>
    <x v="214"/>
    <s v="Customer 109"/>
    <x v="4"/>
    <x v="4"/>
    <x v="1"/>
    <x v="7"/>
    <n v="20"/>
    <n v="42000"/>
    <n v="55000"/>
    <x v="149"/>
    <n v="840000"/>
    <n v="260000"/>
    <n v="0.23636363636363639"/>
  </r>
  <r>
    <s v="ORD1772"/>
    <x v="287"/>
    <s v="Customer 78"/>
    <x v="1"/>
    <x v="3"/>
    <x v="3"/>
    <x v="5"/>
    <n v="12"/>
    <n v="2800"/>
    <n v="4200"/>
    <x v="59"/>
    <n v="33600"/>
    <n v="16800"/>
    <n v="0.33333333333333331"/>
  </r>
  <r>
    <s v="ORD1773"/>
    <x v="11"/>
    <s v="Customer 33"/>
    <x v="4"/>
    <x v="4"/>
    <x v="1"/>
    <x v="7"/>
    <n v="13"/>
    <n v="42000"/>
    <n v="55000"/>
    <x v="134"/>
    <n v="546000"/>
    <n v="169000"/>
    <n v="0.23636363636363639"/>
  </r>
  <r>
    <s v="ORD1774"/>
    <x v="219"/>
    <s v="Customer 111"/>
    <x v="0"/>
    <x v="3"/>
    <x v="2"/>
    <x v="4"/>
    <n v="1"/>
    <n v="8500"/>
    <n v="12000"/>
    <x v="65"/>
    <n v="8500"/>
    <n v="3500"/>
    <n v="0.29166666666666669"/>
  </r>
  <r>
    <s v="ORD1775"/>
    <x v="76"/>
    <s v="Customer 58"/>
    <x v="4"/>
    <x v="4"/>
    <x v="1"/>
    <x v="2"/>
    <n v="18"/>
    <n v="12000"/>
    <n v="16500"/>
    <x v="10"/>
    <n v="216000"/>
    <n v="81000"/>
    <n v="0.27272727272727271"/>
  </r>
  <r>
    <s v="ORD1776"/>
    <x v="245"/>
    <s v="Customer 78"/>
    <x v="3"/>
    <x v="1"/>
    <x v="3"/>
    <x v="5"/>
    <n v="12"/>
    <n v="2800"/>
    <n v="4200"/>
    <x v="59"/>
    <n v="33600"/>
    <n v="16800"/>
    <n v="0.33333333333333331"/>
  </r>
  <r>
    <s v="ORD1777"/>
    <x v="331"/>
    <s v="Customer 59"/>
    <x v="4"/>
    <x v="5"/>
    <x v="3"/>
    <x v="5"/>
    <n v="7"/>
    <n v="2800"/>
    <n v="4200"/>
    <x v="7"/>
    <n v="19600"/>
    <n v="9800"/>
    <n v="0.33333333333333331"/>
  </r>
  <r>
    <s v="ORD1778"/>
    <x v="47"/>
    <s v="Customer 54"/>
    <x v="2"/>
    <x v="0"/>
    <x v="0"/>
    <x v="8"/>
    <n v="18"/>
    <n v="900"/>
    <n v="1500"/>
    <x v="112"/>
    <n v="16200"/>
    <n v="10800"/>
    <n v="0.4"/>
  </r>
  <r>
    <s v="ORD1779"/>
    <x v="222"/>
    <s v="Customer 145"/>
    <x v="1"/>
    <x v="1"/>
    <x v="2"/>
    <x v="4"/>
    <n v="19"/>
    <n v="8500"/>
    <n v="12000"/>
    <x v="126"/>
    <n v="161500"/>
    <n v="66500"/>
    <n v="0.29166666666666669"/>
  </r>
  <r>
    <s v="ORD1780"/>
    <x v="73"/>
    <s v="Customer 133"/>
    <x v="3"/>
    <x v="0"/>
    <x v="1"/>
    <x v="7"/>
    <n v="14"/>
    <n v="42000"/>
    <n v="55000"/>
    <x v="40"/>
    <n v="588000"/>
    <n v="182000"/>
    <n v="0.23636363636363639"/>
  </r>
  <r>
    <s v="ORD1781"/>
    <x v="172"/>
    <s v="Customer 88"/>
    <x v="4"/>
    <x v="0"/>
    <x v="3"/>
    <x v="5"/>
    <n v="7"/>
    <n v="2800"/>
    <n v="4200"/>
    <x v="7"/>
    <n v="19600"/>
    <n v="9800"/>
    <n v="0.33333333333333331"/>
  </r>
  <r>
    <s v="ORD1782"/>
    <x v="241"/>
    <s v="Customer 35"/>
    <x v="1"/>
    <x v="4"/>
    <x v="1"/>
    <x v="2"/>
    <n v="18"/>
    <n v="12000"/>
    <n v="16500"/>
    <x v="10"/>
    <n v="216000"/>
    <n v="81000"/>
    <n v="0.27272727272727271"/>
  </r>
  <r>
    <s v="ORD1783"/>
    <x v="33"/>
    <s v="Customer 26"/>
    <x v="3"/>
    <x v="4"/>
    <x v="1"/>
    <x v="2"/>
    <n v="14"/>
    <n v="12000"/>
    <n v="16500"/>
    <x v="115"/>
    <n v="168000"/>
    <n v="63000"/>
    <n v="0.27272727272727271"/>
  </r>
  <r>
    <s v="ORD1784"/>
    <x v="198"/>
    <s v="Customer 19"/>
    <x v="1"/>
    <x v="4"/>
    <x v="0"/>
    <x v="3"/>
    <n v="13"/>
    <n v="400"/>
    <n v="650"/>
    <x v="117"/>
    <n v="5200"/>
    <n v="3250"/>
    <n v="0.38461538461538458"/>
  </r>
  <r>
    <s v="ORD1785"/>
    <x v="152"/>
    <s v="Customer 58"/>
    <x v="4"/>
    <x v="5"/>
    <x v="0"/>
    <x v="8"/>
    <n v="13"/>
    <n v="900"/>
    <n v="1500"/>
    <x v="92"/>
    <n v="11700"/>
    <n v="7800"/>
    <n v="0.4"/>
  </r>
  <r>
    <s v="ORD1786"/>
    <x v="138"/>
    <s v="Customer 36"/>
    <x v="4"/>
    <x v="4"/>
    <x v="1"/>
    <x v="7"/>
    <n v="8"/>
    <n v="42000"/>
    <n v="55000"/>
    <x v="154"/>
    <n v="336000"/>
    <n v="104000"/>
    <n v="0.23636363636363639"/>
  </r>
  <r>
    <s v="ORD1787"/>
    <x v="91"/>
    <s v="Customer 105"/>
    <x v="2"/>
    <x v="2"/>
    <x v="0"/>
    <x v="9"/>
    <n v="13"/>
    <n v="2500"/>
    <n v="3600"/>
    <x v="91"/>
    <n v="32500"/>
    <n v="14300"/>
    <n v="0.30555555555555558"/>
  </r>
  <r>
    <s v="ORD1788"/>
    <x v="279"/>
    <s v="Customer 122"/>
    <x v="1"/>
    <x v="3"/>
    <x v="0"/>
    <x v="6"/>
    <n v="19"/>
    <n v="1800"/>
    <n v="2800"/>
    <x v="153"/>
    <n v="34200"/>
    <n v="19000"/>
    <n v="0.35714285714285721"/>
  </r>
  <r>
    <s v="ORD1789"/>
    <x v="332"/>
    <s v="Customer 75"/>
    <x v="2"/>
    <x v="4"/>
    <x v="1"/>
    <x v="1"/>
    <n v="19"/>
    <n v="15000"/>
    <n v="19500"/>
    <x v="162"/>
    <n v="285000"/>
    <n v="85500"/>
    <n v="0.23076923076923081"/>
  </r>
  <r>
    <s v="ORD1790"/>
    <x v="322"/>
    <s v="Customer 17"/>
    <x v="0"/>
    <x v="4"/>
    <x v="0"/>
    <x v="8"/>
    <n v="7"/>
    <n v="900"/>
    <n v="1500"/>
    <x v="17"/>
    <n v="6300"/>
    <n v="4200"/>
    <n v="0.4"/>
  </r>
  <r>
    <s v="ORD1791"/>
    <x v="211"/>
    <s v="Customer 88"/>
    <x v="0"/>
    <x v="1"/>
    <x v="1"/>
    <x v="7"/>
    <n v="17"/>
    <n v="42000"/>
    <n v="55000"/>
    <x v="108"/>
    <n v="714000"/>
    <n v="221000"/>
    <n v="0.23636363636363639"/>
  </r>
  <r>
    <s v="ORD1792"/>
    <x v="315"/>
    <s v="Customer 16"/>
    <x v="1"/>
    <x v="3"/>
    <x v="1"/>
    <x v="2"/>
    <n v="17"/>
    <n v="12000"/>
    <n v="16500"/>
    <x v="160"/>
    <n v="204000"/>
    <n v="76500"/>
    <n v="0.27272727272727271"/>
  </r>
  <r>
    <s v="ORD1793"/>
    <x v="155"/>
    <s v="Customer 30"/>
    <x v="1"/>
    <x v="1"/>
    <x v="0"/>
    <x v="3"/>
    <n v="20"/>
    <n v="400"/>
    <n v="650"/>
    <x v="70"/>
    <n v="8000"/>
    <n v="5000"/>
    <n v="0.38461538461538458"/>
  </r>
  <r>
    <s v="ORD1794"/>
    <x v="169"/>
    <s v="Customer 74"/>
    <x v="3"/>
    <x v="4"/>
    <x v="0"/>
    <x v="0"/>
    <n v="14"/>
    <n v="1800"/>
    <n v="2600"/>
    <x v="51"/>
    <n v="25200"/>
    <n v="11200"/>
    <n v="0.30769230769230771"/>
  </r>
  <r>
    <s v="ORD1795"/>
    <x v="120"/>
    <s v="Customer 35"/>
    <x v="3"/>
    <x v="4"/>
    <x v="2"/>
    <x v="4"/>
    <n v="8"/>
    <n v="8500"/>
    <n v="12000"/>
    <x v="6"/>
    <n v="68000"/>
    <n v="28000"/>
    <n v="0.29166666666666669"/>
  </r>
  <r>
    <s v="ORD1796"/>
    <x v="248"/>
    <s v="Customer 108"/>
    <x v="3"/>
    <x v="5"/>
    <x v="1"/>
    <x v="2"/>
    <n v="19"/>
    <n v="12000"/>
    <n v="16500"/>
    <x v="26"/>
    <n v="228000"/>
    <n v="85500"/>
    <n v="0.27272727272727271"/>
  </r>
  <r>
    <s v="ORD1797"/>
    <x v="332"/>
    <s v="Customer 46"/>
    <x v="4"/>
    <x v="5"/>
    <x v="0"/>
    <x v="8"/>
    <n v="6"/>
    <n v="900"/>
    <n v="1500"/>
    <x v="62"/>
    <n v="5400"/>
    <n v="3600"/>
    <n v="0.4"/>
  </r>
  <r>
    <s v="ORD1798"/>
    <x v="156"/>
    <s v="Customer 70"/>
    <x v="4"/>
    <x v="4"/>
    <x v="3"/>
    <x v="5"/>
    <n v="18"/>
    <n v="2800"/>
    <n v="4200"/>
    <x v="101"/>
    <n v="50400"/>
    <n v="25200"/>
    <n v="0.33333333333333331"/>
  </r>
  <r>
    <s v="ORD1799"/>
    <x v="168"/>
    <s v="Customer 140"/>
    <x v="1"/>
    <x v="1"/>
    <x v="0"/>
    <x v="9"/>
    <n v="7"/>
    <n v="2500"/>
    <n v="3600"/>
    <x v="33"/>
    <n v="17500"/>
    <n v="7700"/>
    <n v="0.30555555555555558"/>
  </r>
  <r>
    <s v="ORD1800"/>
    <x v="166"/>
    <s v="Customer 52"/>
    <x v="3"/>
    <x v="2"/>
    <x v="2"/>
    <x v="4"/>
    <n v="6"/>
    <n v="8500"/>
    <n v="12000"/>
    <x v="122"/>
    <n v="51000"/>
    <n v="21000"/>
    <n v="0.29166666666666669"/>
  </r>
  <r>
    <s v="ORD1801"/>
    <x v="1"/>
    <s v="Customer 86"/>
    <x v="4"/>
    <x v="5"/>
    <x v="0"/>
    <x v="9"/>
    <n v="9"/>
    <n v="2500"/>
    <n v="3600"/>
    <x v="35"/>
    <n v="22500"/>
    <n v="9900"/>
    <n v="0.30555555555555558"/>
  </r>
  <r>
    <s v="ORD1802"/>
    <x v="259"/>
    <s v="Customer 21"/>
    <x v="4"/>
    <x v="1"/>
    <x v="3"/>
    <x v="5"/>
    <n v="19"/>
    <n v="2800"/>
    <n v="4200"/>
    <x v="66"/>
    <n v="53200"/>
    <n v="26600"/>
    <n v="0.33333333333333331"/>
  </r>
  <r>
    <s v="ORD1803"/>
    <x v="73"/>
    <s v="Customer 83"/>
    <x v="2"/>
    <x v="5"/>
    <x v="3"/>
    <x v="5"/>
    <n v="2"/>
    <n v="2800"/>
    <n v="4200"/>
    <x v="46"/>
    <n v="5600"/>
    <n v="2800"/>
    <n v="0.33333333333333331"/>
  </r>
  <r>
    <s v="ORD1804"/>
    <x v="333"/>
    <s v="Customer 15"/>
    <x v="4"/>
    <x v="1"/>
    <x v="0"/>
    <x v="6"/>
    <n v="15"/>
    <n v="1800"/>
    <n v="2800"/>
    <x v="12"/>
    <n v="27000"/>
    <n v="15000"/>
    <n v="0.35714285714285721"/>
  </r>
  <r>
    <s v="ORD1805"/>
    <x v="268"/>
    <s v="Customer 133"/>
    <x v="3"/>
    <x v="4"/>
    <x v="1"/>
    <x v="1"/>
    <n v="9"/>
    <n v="15000"/>
    <n v="19500"/>
    <x v="32"/>
    <n v="135000"/>
    <n v="40500"/>
    <n v="0.23076923076923081"/>
  </r>
  <r>
    <s v="ORD1806"/>
    <x v="213"/>
    <s v="Customer 108"/>
    <x v="1"/>
    <x v="5"/>
    <x v="0"/>
    <x v="8"/>
    <n v="8"/>
    <n v="900"/>
    <n v="1500"/>
    <x v="65"/>
    <n v="7200"/>
    <n v="4800"/>
    <n v="0.4"/>
  </r>
  <r>
    <s v="ORD1807"/>
    <x v="278"/>
    <s v="Customer 6"/>
    <x v="4"/>
    <x v="2"/>
    <x v="0"/>
    <x v="0"/>
    <n v="1"/>
    <n v="1800"/>
    <n v="2600"/>
    <x v="18"/>
    <n v="1800"/>
    <n v="800"/>
    <n v="0.30769230769230771"/>
  </r>
  <r>
    <s v="ORD1808"/>
    <x v="166"/>
    <s v="Customer 76"/>
    <x v="4"/>
    <x v="2"/>
    <x v="1"/>
    <x v="1"/>
    <n v="8"/>
    <n v="15000"/>
    <n v="19500"/>
    <x v="121"/>
    <n v="120000"/>
    <n v="36000"/>
    <n v="0.23076923076923081"/>
  </r>
  <r>
    <s v="ORD1809"/>
    <x v="284"/>
    <s v="Customer 111"/>
    <x v="2"/>
    <x v="3"/>
    <x v="1"/>
    <x v="1"/>
    <n v="5"/>
    <n v="15000"/>
    <n v="19500"/>
    <x v="23"/>
    <n v="75000"/>
    <n v="22500"/>
    <n v="0.23076923076923081"/>
  </r>
  <r>
    <s v="ORD1810"/>
    <x v="195"/>
    <s v="Customer 85"/>
    <x v="3"/>
    <x v="1"/>
    <x v="1"/>
    <x v="7"/>
    <n v="8"/>
    <n v="42000"/>
    <n v="55000"/>
    <x v="154"/>
    <n v="336000"/>
    <n v="104000"/>
    <n v="0.23636363636363639"/>
  </r>
  <r>
    <s v="ORD1811"/>
    <x v="265"/>
    <s v="Customer 12"/>
    <x v="0"/>
    <x v="1"/>
    <x v="0"/>
    <x v="0"/>
    <n v="5"/>
    <n v="1800"/>
    <n v="2600"/>
    <x v="70"/>
    <n v="9000"/>
    <n v="4000"/>
    <n v="0.30769230769230771"/>
  </r>
  <r>
    <s v="ORD1812"/>
    <x v="217"/>
    <s v="Customer 62"/>
    <x v="1"/>
    <x v="2"/>
    <x v="2"/>
    <x v="4"/>
    <n v="2"/>
    <n v="8500"/>
    <n v="12000"/>
    <x v="61"/>
    <n v="17000"/>
    <n v="7000"/>
    <n v="0.29166666666666669"/>
  </r>
  <r>
    <s v="ORD1813"/>
    <x v="316"/>
    <s v="Customer 64"/>
    <x v="3"/>
    <x v="4"/>
    <x v="0"/>
    <x v="9"/>
    <n v="17"/>
    <n v="2500"/>
    <n v="3600"/>
    <x v="58"/>
    <n v="42500"/>
    <n v="18700"/>
    <n v="0.30555555555555558"/>
  </r>
  <r>
    <s v="ORD1814"/>
    <x v="301"/>
    <s v="Customer 21"/>
    <x v="2"/>
    <x v="2"/>
    <x v="0"/>
    <x v="6"/>
    <n v="8"/>
    <n v="1800"/>
    <n v="2800"/>
    <x v="36"/>
    <n v="14400"/>
    <n v="8000"/>
    <n v="0.35714285714285721"/>
  </r>
  <r>
    <s v="ORD1815"/>
    <x v="97"/>
    <s v="Customer 31"/>
    <x v="0"/>
    <x v="0"/>
    <x v="1"/>
    <x v="1"/>
    <n v="15"/>
    <n v="15000"/>
    <n v="19500"/>
    <x v="164"/>
    <n v="225000"/>
    <n v="67500"/>
    <n v="0.23076923076923081"/>
  </r>
  <r>
    <s v="ORD1816"/>
    <x v="229"/>
    <s v="Customer 87"/>
    <x v="2"/>
    <x v="1"/>
    <x v="0"/>
    <x v="8"/>
    <n v="11"/>
    <n v="900"/>
    <n v="1500"/>
    <x v="2"/>
    <n v="9900"/>
    <n v="6600"/>
    <n v="0.4"/>
  </r>
  <r>
    <s v="ORD1817"/>
    <x v="248"/>
    <s v="Customer 62"/>
    <x v="4"/>
    <x v="5"/>
    <x v="1"/>
    <x v="2"/>
    <n v="17"/>
    <n v="12000"/>
    <n v="16500"/>
    <x v="160"/>
    <n v="204000"/>
    <n v="76500"/>
    <n v="0.27272727272727271"/>
  </r>
  <r>
    <s v="ORD1818"/>
    <x v="151"/>
    <s v="Customer 57"/>
    <x v="2"/>
    <x v="5"/>
    <x v="0"/>
    <x v="0"/>
    <n v="2"/>
    <n v="1800"/>
    <n v="2600"/>
    <x v="131"/>
    <n v="3600"/>
    <n v="1600"/>
    <n v="0.30769230769230771"/>
  </r>
  <r>
    <s v="ORD1819"/>
    <x v="281"/>
    <s v="Customer 93"/>
    <x v="0"/>
    <x v="1"/>
    <x v="0"/>
    <x v="6"/>
    <n v="9"/>
    <n v="1800"/>
    <n v="2800"/>
    <x v="33"/>
    <n v="16200"/>
    <n v="9000"/>
    <n v="0.35714285714285721"/>
  </r>
  <r>
    <s v="ORD1820"/>
    <x v="247"/>
    <s v="Customer 138"/>
    <x v="0"/>
    <x v="1"/>
    <x v="0"/>
    <x v="8"/>
    <n v="1"/>
    <n v="900"/>
    <n v="1500"/>
    <x v="34"/>
    <n v="900"/>
    <n v="600"/>
    <n v="0.4"/>
  </r>
  <r>
    <s v="ORD1821"/>
    <x v="207"/>
    <s v="Customer 130"/>
    <x v="2"/>
    <x v="2"/>
    <x v="0"/>
    <x v="0"/>
    <n v="16"/>
    <n v="1800"/>
    <n v="2600"/>
    <x v="0"/>
    <n v="28800"/>
    <n v="12800"/>
    <n v="0.30769230769230771"/>
  </r>
  <r>
    <s v="ORD1822"/>
    <x v="203"/>
    <s v="Customer 94"/>
    <x v="1"/>
    <x v="3"/>
    <x v="3"/>
    <x v="5"/>
    <n v="11"/>
    <n v="2800"/>
    <n v="4200"/>
    <x v="43"/>
    <n v="30800"/>
    <n v="15400"/>
    <n v="0.33333333333333331"/>
  </r>
  <r>
    <s v="ORD1823"/>
    <x v="255"/>
    <s v="Customer 10"/>
    <x v="1"/>
    <x v="5"/>
    <x v="1"/>
    <x v="7"/>
    <n v="10"/>
    <n v="42000"/>
    <n v="55000"/>
    <x v="72"/>
    <n v="420000"/>
    <n v="130000"/>
    <n v="0.23636363636363639"/>
  </r>
  <r>
    <s v="ORD1824"/>
    <x v="222"/>
    <s v="Customer 94"/>
    <x v="0"/>
    <x v="5"/>
    <x v="3"/>
    <x v="5"/>
    <n v="16"/>
    <n v="2800"/>
    <n v="4200"/>
    <x v="114"/>
    <n v="44800"/>
    <n v="22400"/>
    <n v="0.33333333333333331"/>
  </r>
  <r>
    <s v="ORD1825"/>
    <x v="283"/>
    <s v="Customer 24"/>
    <x v="2"/>
    <x v="2"/>
    <x v="0"/>
    <x v="9"/>
    <n v="9"/>
    <n v="2500"/>
    <n v="3600"/>
    <x v="35"/>
    <n v="22500"/>
    <n v="9900"/>
    <n v="0.30555555555555558"/>
  </r>
  <r>
    <s v="ORD1826"/>
    <x v="227"/>
    <s v="Customer 113"/>
    <x v="3"/>
    <x v="0"/>
    <x v="1"/>
    <x v="1"/>
    <n v="6"/>
    <n v="15000"/>
    <n v="19500"/>
    <x v="151"/>
    <n v="90000"/>
    <n v="27000"/>
    <n v="0.23076923076923081"/>
  </r>
  <r>
    <s v="ORD1827"/>
    <x v="61"/>
    <s v="Customer 103"/>
    <x v="3"/>
    <x v="4"/>
    <x v="2"/>
    <x v="4"/>
    <n v="4"/>
    <n v="8500"/>
    <n v="12000"/>
    <x v="103"/>
    <n v="34000"/>
    <n v="14000"/>
    <n v="0.29166666666666669"/>
  </r>
  <r>
    <s v="ORD1828"/>
    <x v="299"/>
    <s v="Customer 141"/>
    <x v="0"/>
    <x v="5"/>
    <x v="0"/>
    <x v="6"/>
    <n v="19"/>
    <n v="1800"/>
    <n v="2800"/>
    <x v="153"/>
    <n v="34200"/>
    <n v="19000"/>
    <n v="0.35714285714285721"/>
  </r>
  <r>
    <s v="ORD1829"/>
    <x v="164"/>
    <s v="Customer 130"/>
    <x v="4"/>
    <x v="0"/>
    <x v="1"/>
    <x v="1"/>
    <n v="16"/>
    <n v="15000"/>
    <n v="19500"/>
    <x v="104"/>
    <n v="240000"/>
    <n v="72000"/>
    <n v="0.23076923076923081"/>
  </r>
  <r>
    <s v="ORD1830"/>
    <x v="7"/>
    <s v="Customer 107"/>
    <x v="0"/>
    <x v="3"/>
    <x v="0"/>
    <x v="9"/>
    <n v="16"/>
    <n v="2500"/>
    <n v="3600"/>
    <x v="143"/>
    <n v="40000"/>
    <n v="17600"/>
    <n v="0.30555555555555558"/>
  </r>
  <r>
    <s v="ORD1831"/>
    <x v="254"/>
    <s v="Customer 84"/>
    <x v="0"/>
    <x v="5"/>
    <x v="1"/>
    <x v="7"/>
    <n v="17"/>
    <n v="42000"/>
    <n v="55000"/>
    <x v="108"/>
    <n v="714000"/>
    <n v="221000"/>
    <n v="0.23636363636363639"/>
  </r>
  <r>
    <s v="ORD1832"/>
    <x v="138"/>
    <s v="Customer 9"/>
    <x v="4"/>
    <x v="4"/>
    <x v="1"/>
    <x v="1"/>
    <n v="16"/>
    <n v="15000"/>
    <n v="19500"/>
    <x v="104"/>
    <n v="240000"/>
    <n v="72000"/>
    <n v="0.23076923076923081"/>
  </r>
  <r>
    <s v="ORD1833"/>
    <x v="309"/>
    <s v="Customer 8"/>
    <x v="1"/>
    <x v="4"/>
    <x v="1"/>
    <x v="7"/>
    <n v="20"/>
    <n v="42000"/>
    <n v="55000"/>
    <x v="149"/>
    <n v="840000"/>
    <n v="260000"/>
    <n v="0.23636363636363639"/>
  </r>
  <r>
    <s v="ORD1834"/>
    <x v="153"/>
    <s v="Customer 38"/>
    <x v="1"/>
    <x v="1"/>
    <x v="0"/>
    <x v="8"/>
    <n v="12"/>
    <n v="900"/>
    <n v="1500"/>
    <x v="96"/>
    <n v="10800"/>
    <n v="7200"/>
    <n v="0.4"/>
  </r>
  <r>
    <s v="ORD1835"/>
    <x v="334"/>
    <s v="Customer 111"/>
    <x v="3"/>
    <x v="2"/>
    <x v="1"/>
    <x v="2"/>
    <n v="20"/>
    <n v="12000"/>
    <n v="16500"/>
    <x v="125"/>
    <n v="240000"/>
    <n v="90000"/>
    <n v="0.27272727272727271"/>
  </r>
  <r>
    <s v="ORD1836"/>
    <x v="152"/>
    <s v="Customer 144"/>
    <x v="2"/>
    <x v="5"/>
    <x v="0"/>
    <x v="6"/>
    <n v="10"/>
    <n v="1800"/>
    <n v="2800"/>
    <x v="110"/>
    <n v="18000"/>
    <n v="10000"/>
    <n v="0.35714285714285721"/>
  </r>
  <r>
    <s v="ORD1837"/>
    <x v="92"/>
    <s v="Customer 60"/>
    <x v="1"/>
    <x v="1"/>
    <x v="0"/>
    <x v="3"/>
    <n v="13"/>
    <n v="400"/>
    <n v="650"/>
    <x v="117"/>
    <n v="5200"/>
    <n v="3250"/>
    <n v="0.38461538461538458"/>
  </r>
  <r>
    <s v="ORD1838"/>
    <x v="176"/>
    <s v="Customer 109"/>
    <x v="1"/>
    <x v="2"/>
    <x v="2"/>
    <x v="4"/>
    <n v="10"/>
    <n v="8500"/>
    <n v="12000"/>
    <x v="44"/>
    <n v="85000"/>
    <n v="35000"/>
    <n v="0.29166666666666669"/>
  </r>
  <r>
    <s v="ORD1839"/>
    <x v="333"/>
    <s v="Customer 78"/>
    <x v="0"/>
    <x v="3"/>
    <x v="0"/>
    <x v="6"/>
    <n v="8"/>
    <n v="1800"/>
    <n v="2800"/>
    <x v="36"/>
    <n v="14400"/>
    <n v="8000"/>
    <n v="0.35714285714285721"/>
  </r>
  <r>
    <s v="ORD1840"/>
    <x v="30"/>
    <s v="Customer 124"/>
    <x v="3"/>
    <x v="3"/>
    <x v="1"/>
    <x v="2"/>
    <n v="14"/>
    <n v="12000"/>
    <n v="16500"/>
    <x v="115"/>
    <n v="168000"/>
    <n v="63000"/>
    <n v="0.27272727272727271"/>
  </r>
  <r>
    <s v="ORD1841"/>
    <x v="304"/>
    <s v="Customer 86"/>
    <x v="0"/>
    <x v="5"/>
    <x v="0"/>
    <x v="9"/>
    <n v="7"/>
    <n v="2500"/>
    <n v="3600"/>
    <x v="33"/>
    <n v="17500"/>
    <n v="7700"/>
    <n v="0.30555555555555558"/>
  </r>
  <r>
    <s v="ORD1842"/>
    <x v="237"/>
    <s v="Customer 63"/>
    <x v="3"/>
    <x v="1"/>
    <x v="0"/>
    <x v="0"/>
    <n v="18"/>
    <n v="1800"/>
    <n v="2600"/>
    <x v="91"/>
    <n v="32400"/>
    <n v="14400"/>
    <n v="0.30769230769230771"/>
  </r>
  <r>
    <s v="ORD1843"/>
    <x v="335"/>
    <s v="Customer 121"/>
    <x v="0"/>
    <x v="3"/>
    <x v="1"/>
    <x v="2"/>
    <n v="4"/>
    <n v="12000"/>
    <n v="16500"/>
    <x v="145"/>
    <n v="48000"/>
    <n v="18000"/>
    <n v="0.27272727272727271"/>
  </r>
  <r>
    <s v="ORD1844"/>
    <x v="165"/>
    <s v="Customer 8"/>
    <x v="4"/>
    <x v="1"/>
    <x v="2"/>
    <x v="4"/>
    <n v="13"/>
    <n v="8500"/>
    <n v="12000"/>
    <x v="121"/>
    <n v="110500"/>
    <n v="45500"/>
    <n v="0.29166666666666669"/>
  </r>
  <r>
    <s v="ORD1845"/>
    <x v="69"/>
    <s v="Customer 30"/>
    <x v="3"/>
    <x v="3"/>
    <x v="3"/>
    <x v="5"/>
    <n v="5"/>
    <n v="2800"/>
    <n v="4200"/>
    <x v="41"/>
    <n v="14000"/>
    <n v="7000"/>
    <n v="0.33333333333333331"/>
  </r>
  <r>
    <s v="ORD1846"/>
    <x v="102"/>
    <s v="Customer 107"/>
    <x v="0"/>
    <x v="5"/>
    <x v="1"/>
    <x v="7"/>
    <n v="8"/>
    <n v="42000"/>
    <n v="55000"/>
    <x v="154"/>
    <n v="336000"/>
    <n v="104000"/>
    <n v="0.23636363636363639"/>
  </r>
  <r>
    <s v="ORD1847"/>
    <x v="63"/>
    <s v="Customer 24"/>
    <x v="4"/>
    <x v="2"/>
    <x v="0"/>
    <x v="3"/>
    <n v="6"/>
    <n v="400"/>
    <n v="650"/>
    <x v="102"/>
    <n v="2400"/>
    <n v="1500"/>
    <n v="0.38461538461538458"/>
  </r>
  <r>
    <s v="ORD1848"/>
    <x v="237"/>
    <s v="Customer 26"/>
    <x v="0"/>
    <x v="3"/>
    <x v="1"/>
    <x v="2"/>
    <n v="20"/>
    <n v="12000"/>
    <n v="16500"/>
    <x v="125"/>
    <n v="240000"/>
    <n v="90000"/>
    <n v="0.27272727272727271"/>
  </r>
  <r>
    <s v="ORD1849"/>
    <x v="206"/>
    <s v="Customer 144"/>
    <x v="3"/>
    <x v="3"/>
    <x v="2"/>
    <x v="4"/>
    <n v="1"/>
    <n v="8500"/>
    <n v="12000"/>
    <x v="65"/>
    <n v="8500"/>
    <n v="3500"/>
    <n v="0.29166666666666669"/>
  </r>
  <r>
    <s v="ORD1850"/>
    <x v="74"/>
    <s v="Customer 128"/>
    <x v="3"/>
    <x v="4"/>
    <x v="0"/>
    <x v="3"/>
    <n v="8"/>
    <n v="400"/>
    <n v="650"/>
    <x v="131"/>
    <n v="3200"/>
    <n v="2000"/>
    <n v="0.38461538461538458"/>
  </r>
  <r>
    <s v="ORD1851"/>
    <x v="96"/>
    <s v="Customer 90"/>
    <x v="4"/>
    <x v="4"/>
    <x v="3"/>
    <x v="5"/>
    <n v="6"/>
    <n v="2800"/>
    <n v="4200"/>
    <x v="33"/>
    <n v="16800"/>
    <n v="8400"/>
    <n v="0.33333333333333331"/>
  </r>
  <r>
    <s v="ORD1852"/>
    <x v="208"/>
    <s v="Customer 99"/>
    <x v="3"/>
    <x v="5"/>
    <x v="0"/>
    <x v="3"/>
    <n v="12"/>
    <n v="400"/>
    <n v="650"/>
    <x v="60"/>
    <n v="4800"/>
    <n v="3000"/>
    <n v="0.38461538461538458"/>
  </r>
  <r>
    <s v="ORD1853"/>
    <x v="117"/>
    <s v="Customer 144"/>
    <x v="3"/>
    <x v="1"/>
    <x v="1"/>
    <x v="1"/>
    <n v="8"/>
    <n v="15000"/>
    <n v="19500"/>
    <x v="121"/>
    <n v="120000"/>
    <n v="36000"/>
    <n v="0.23076923076923081"/>
  </r>
  <r>
    <s v="ORD1854"/>
    <x v="140"/>
    <s v="Customer 99"/>
    <x v="3"/>
    <x v="3"/>
    <x v="1"/>
    <x v="7"/>
    <n v="3"/>
    <n v="42000"/>
    <n v="55000"/>
    <x v="13"/>
    <n v="126000"/>
    <n v="39000"/>
    <n v="0.23636363636363639"/>
  </r>
  <r>
    <s v="ORD1855"/>
    <x v="303"/>
    <s v="Customer 18"/>
    <x v="2"/>
    <x v="4"/>
    <x v="1"/>
    <x v="7"/>
    <n v="7"/>
    <n v="42000"/>
    <n v="55000"/>
    <x v="119"/>
    <n v="294000"/>
    <n v="91000"/>
    <n v="0.23636363636363639"/>
  </r>
  <r>
    <s v="ORD1856"/>
    <x v="85"/>
    <s v="Customer 92"/>
    <x v="2"/>
    <x v="3"/>
    <x v="1"/>
    <x v="1"/>
    <n v="13"/>
    <n v="15000"/>
    <n v="19500"/>
    <x v="71"/>
    <n v="195000"/>
    <n v="58500"/>
    <n v="0.23076923076923081"/>
  </r>
  <r>
    <s v="ORD1857"/>
    <x v="292"/>
    <s v="Customer 23"/>
    <x v="1"/>
    <x v="2"/>
    <x v="0"/>
    <x v="9"/>
    <n v="9"/>
    <n v="2500"/>
    <n v="3600"/>
    <x v="35"/>
    <n v="22500"/>
    <n v="9900"/>
    <n v="0.30555555555555558"/>
  </r>
  <r>
    <s v="ORD1858"/>
    <x v="174"/>
    <s v="Customer 65"/>
    <x v="0"/>
    <x v="4"/>
    <x v="1"/>
    <x v="1"/>
    <n v="10"/>
    <n v="15000"/>
    <n v="19500"/>
    <x v="68"/>
    <n v="150000"/>
    <n v="45000"/>
    <n v="0.23076923076923081"/>
  </r>
  <r>
    <s v="ORD1859"/>
    <x v="208"/>
    <s v="Customer 79"/>
    <x v="0"/>
    <x v="3"/>
    <x v="0"/>
    <x v="9"/>
    <n v="17"/>
    <n v="2500"/>
    <n v="3600"/>
    <x v="58"/>
    <n v="42500"/>
    <n v="18700"/>
    <n v="0.30555555555555558"/>
  </r>
  <r>
    <s v="ORD1860"/>
    <x v="138"/>
    <s v="Customer 75"/>
    <x v="4"/>
    <x v="0"/>
    <x v="2"/>
    <x v="4"/>
    <n v="13"/>
    <n v="8500"/>
    <n v="12000"/>
    <x v="121"/>
    <n v="110500"/>
    <n v="45500"/>
    <n v="0.29166666666666669"/>
  </r>
  <r>
    <s v="ORD1861"/>
    <x v="45"/>
    <s v="Customer 26"/>
    <x v="2"/>
    <x v="2"/>
    <x v="0"/>
    <x v="3"/>
    <n v="5"/>
    <n v="400"/>
    <n v="650"/>
    <x v="86"/>
    <n v="2000"/>
    <n v="1250"/>
    <n v="0.38461538461538458"/>
  </r>
  <r>
    <s v="ORD1862"/>
    <x v="320"/>
    <s v="Customer 135"/>
    <x v="0"/>
    <x v="4"/>
    <x v="1"/>
    <x v="7"/>
    <n v="1"/>
    <n v="42000"/>
    <n v="55000"/>
    <x v="89"/>
    <n v="42000"/>
    <n v="13000"/>
    <n v="0.23636363636363639"/>
  </r>
  <r>
    <s v="ORD1863"/>
    <x v="188"/>
    <s v="Customer 132"/>
    <x v="2"/>
    <x v="2"/>
    <x v="2"/>
    <x v="4"/>
    <n v="4"/>
    <n v="8500"/>
    <n v="12000"/>
    <x v="103"/>
    <n v="34000"/>
    <n v="14000"/>
    <n v="0.29166666666666669"/>
  </r>
  <r>
    <s v="ORD1864"/>
    <x v="101"/>
    <s v="Customer 85"/>
    <x v="2"/>
    <x v="2"/>
    <x v="3"/>
    <x v="5"/>
    <n v="15"/>
    <n v="2800"/>
    <n v="4200"/>
    <x v="48"/>
    <n v="42000"/>
    <n v="21000"/>
    <n v="0.33333333333333331"/>
  </r>
  <r>
    <s v="ORD1865"/>
    <x v="283"/>
    <s v="Customer 150"/>
    <x v="3"/>
    <x v="0"/>
    <x v="0"/>
    <x v="0"/>
    <n v="20"/>
    <n v="1800"/>
    <n v="2600"/>
    <x v="142"/>
    <n v="36000"/>
    <n v="16000"/>
    <n v="0.30769230769230771"/>
  </r>
  <r>
    <s v="ORD1866"/>
    <x v="336"/>
    <s v="Customer 30"/>
    <x v="0"/>
    <x v="5"/>
    <x v="3"/>
    <x v="5"/>
    <n v="12"/>
    <n v="2800"/>
    <n v="4200"/>
    <x v="59"/>
    <n v="33600"/>
    <n v="16800"/>
    <n v="0.33333333333333331"/>
  </r>
  <r>
    <s v="ORD1867"/>
    <x v="245"/>
    <s v="Customer 19"/>
    <x v="0"/>
    <x v="2"/>
    <x v="3"/>
    <x v="5"/>
    <n v="13"/>
    <n v="2800"/>
    <n v="4200"/>
    <x v="82"/>
    <n v="36400"/>
    <n v="18200"/>
    <n v="0.33333333333333331"/>
  </r>
  <r>
    <s v="ORD1868"/>
    <x v="115"/>
    <s v="Customer 78"/>
    <x v="0"/>
    <x v="1"/>
    <x v="0"/>
    <x v="3"/>
    <n v="14"/>
    <n v="400"/>
    <n v="650"/>
    <x v="69"/>
    <n v="5600"/>
    <n v="3500"/>
    <n v="0.38461538461538458"/>
  </r>
  <r>
    <s v="ORD1869"/>
    <x v="74"/>
    <s v="Customer 99"/>
    <x v="4"/>
    <x v="4"/>
    <x v="0"/>
    <x v="8"/>
    <n v="20"/>
    <n v="900"/>
    <n v="1500"/>
    <x v="155"/>
    <n v="18000"/>
    <n v="12000"/>
    <n v="0.4"/>
  </r>
  <r>
    <s v="ORD1870"/>
    <x v="170"/>
    <s v="Customer 31"/>
    <x v="2"/>
    <x v="4"/>
    <x v="1"/>
    <x v="1"/>
    <n v="19"/>
    <n v="15000"/>
    <n v="19500"/>
    <x v="162"/>
    <n v="285000"/>
    <n v="85500"/>
    <n v="0.23076923076923081"/>
  </r>
  <r>
    <s v="ORD1871"/>
    <x v="11"/>
    <s v="Customer 18"/>
    <x v="2"/>
    <x v="1"/>
    <x v="1"/>
    <x v="2"/>
    <n v="5"/>
    <n v="12000"/>
    <n v="16500"/>
    <x v="67"/>
    <n v="60000"/>
    <n v="22500"/>
    <n v="0.27272727272727271"/>
  </r>
  <r>
    <s v="ORD1872"/>
    <x v="225"/>
    <s v="Customer 138"/>
    <x v="1"/>
    <x v="1"/>
    <x v="1"/>
    <x v="2"/>
    <n v="1"/>
    <n v="12000"/>
    <n v="16500"/>
    <x v="2"/>
    <n v="12000"/>
    <n v="4500"/>
    <n v="0.27272727272727271"/>
  </r>
  <r>
    <s v="ORD1873"/>
    <x v="82"/>
    <s v="Customer 63"/>
    <x v="0"/>
    <x v="2"/>
    <x v="2"/>
    <x v="4"/>
    <n v="2"/>
    <n v="8500"/>
    <n v="12000"/>
    <x v="61"/>
    <n v="17000"/>
    <n v="7000"/>
    <n v="0.29166666666666669"/>
  </r>
  <r>
    <s v="ORD1874"/>
    <x v="197"/>
    <s v="Customer 72"/>
    <x v="1"/>
    <x v="0"/>
    <x v="1"/>
    <x v="2"/>
    <n v="14"/>
    <n v="12000"/>
    <n v="16500"/>
    <x v="115"/>
    <n v="168000"/>
    <n v="63000"/>
    <n v="0.27272727272727271"/>
  </r>
  <r>
    <s v="ORD1875"/>
    <x v="30"/>
    <s v="Customer 140"/>
    <x v="0"/>
    <x v="3"/>
    <x v="1"/>
    <x v="7"/>
    <n v="5"/>
    <n v="42000"/>
    <n v="55000"/>
    <x v="97"/>
    <n v="210000"/>
    <n v="65000"/>
    <n v="0.23636363636363639"/>
  </r>
  <r>
    <s v="ORD1876"/>
    <x v="313"/>
    <s v="Customer 88"/>
    <x v="0"/>
    <x v="1"/>
    <x v="0"/>
    <x v="9"/>
    <n v="3"/>
    <n v="2500"/>
    <n v="3600"/>
    <x v="135"/>
    <n v="7500"/>
    <n v="3300"/>
    <n v="0.30555555555555558"/>
  </r>
  <r>
    <s v="ORD1877"/>
    <x v="79"/>
    <s v="Customer 102"/>
    <x v="0"/>
    <x v="3"/>
    <x v="0"/>
    <x v="3"/>
    <n v="2"/>
    <n v="400"/>
    <n v="650"/>
    <x v="78"/>
    <n v="800"/>
    <n v="500"/>
    <n v="0.38461538461538458"/>
  </r>
  <r>
    <s v="ORD1878"/>
    <x v="243"/>
    <s v="Customer 65"/>
    <x v="2"/>
    <x v="2"/>
    <x v="1"/>
    <x v="2"/>
    <n v="16"/>
    <n v="12000"/>
    <n v="16500"/>
    <x v="57"/>
    <n v="192000"/>
    <n v="72000"/>
    <n v="0.27272727272727271"/>
  </r>
  <r>
    <s v="ORD1879"/>
    <x v="167"/>
    <s v="Customer 12"/>
    <x v="2"/>
    <x v="3"/>
    <x v="2"/>
    <x v="4"/>
    <n v="2"/>
    <n v="8500"/>
    <n v="12000"/>
    <x v="61"/>
    <n v="17000"/>
    <n v="7000"/>
    <n v="0.29166666666666669"/>
  </r>
  <r>
    <s v="ORD1880"/>
    <x v="276"/>
    <s v="Customer 103"/>
    <x v="2"/>
    <x v="5"/>
    <x v="0"/>
    <x v="6"/>
    <n v="10"/>
    <n v="1800"/>
    <n v="2800"/>
    <x v="110"/>
    <n v="18000"/>
    <n v="10000"/>
    <n v="0.35714285714285721"/>
  </r>
  <r>
    <s v="ORD1881"/>
    <x v="240"/>
    <s v="Customer 110"/>
    <x v="4"/>
    <x v="3"/>
    <x v="0"/>
    <x v="0"/>
    <n v="17"/>
    <n v="1800"/>
    <n v="2600"/>
    <x v="132"/>
    <n v="30600"/>
    <n v="13600"/>
    <n v="0.30769230769230771"/>
  </r>
  <r>
    <s v="ORD1882"/>
    <x v="48"/>
    <s v="Customer 39"/>
    <x v="3"/>
    <x v="4"/>
    <x v="0"/>
    <x v="6"/>
    <n v="10"/>
    <n v="1800"/>
    <n v="2800"/>
    <x v="110"/>
    <n v="18000"/>
    <n v="10000"/>
    <n v="0.35714285714285721"/>
  </r>
  <r>
    <s v="ORD1883"/>
    <x v="64"/>
    <s v="Customer 57"/>
    <x v="3"/>
    <x v="2"/>
    <x v="0"/>
    <x v="6"/>
    <n v="2"/>
    <n v="1800"/>
    <n v="2800"/>
    <x v="55"/>
    <n v="3600"/>
    <n v="2000"/>
    <n v="0.35714285714285721"/>
  </r>
  <r>
    <s v="ORD1884"/>
    <x v="66"/>
    <s v="Customer 15"/>
    <x v="3"/>
    <x v="4"/>
    <x v="0"/>
    <x v="8"/>
    <n v="19"/>
    <n v="900"/>
    <n v="1500"/>
    <x v="52"/>
    <n v="17100"/>
    <n v="11400"/>
    <n v="0.4"/>
  </r>
  <r>
    <s v="ORD1885"/>
    <x v="337"/>
    <s v="Customer 112"/>
    <x v="0"/>
    <x v="4"/>
    <x v="0"/>
    <x v="6"/>
    <n v="14"/>
    <n v="1800"/>
    <n v="2800"/>
    <x v="124"/>
    <n v="25200"/>
    <n v="14000"/>
    <n v="0.35714285714285721"/>
  </r>
  <r>
    <s v="ORD1886"/>
    <x v="150"/>
    <s v="Customer 76"/>
    <x v="3"/>
    <x v="0"/>
    <x v="3"/>
    <x v="5"/>
    <n v="8"/>
    <n v="2800"/>
    <n v="4200"/>
    <x v="100"/>
    <n v="22400"/>
    <n v="11200"/>
    <n v="0.33333333333333331"/>
  </r>
  <r>
    <s v="ORD1887"/>
    <x v="313"/>
    <s v="Customer 148"/>
    <x v="1"/>
    <x v="0"/>
    <x v="0"/>
    <x v="0"/>
    <n v="19"/>
    <n v="1800"/>
    <n v="2600"/>
    <x v="8"/>
    <n v="34200"/>
    <n v="15200"/>
    <n v="0.30769230769230771"/>
  </r>
  <r>
    <s v="ORD1888"/>
    <x v="338"/>
    <s v="Customer 136"/>
    <x v="2"/>
    <x v="0"/>
    <x v="0"/>
    <x v="6"/>
    <n v="11"/>
    <n v="1800"/>
    <n v="2800"/>
    <x v="118"/>
    <n v="19800"/>
    <n v="11000"/>
    <n v="0.35714285714285721"/>
  </r>
  <r>
    <s v="ORD1889"/>
    <x v="233"/>
    <s v="Customer 150"/>
    <x v="2"/>
    <x v="3"/>
    <x v="1"/>
    <x v="2"/>
    <n v="9"/>
    <n v="12000"/>
    <n v="16500"/>
    <x v="111"/>
    <n v="108000"/>
    <n v="40500"/>
    <n v="0.27272727272727271"/>
  </r>
  <r>
    <s v="ORD1890"/>
    <x v="70"/>
    <s v="Customer 30"/>
    <x v="0"/>
    <x v="5"/>
    <x v="1"/>
    <x v="2"/>
    <n v="5"/>
    <n v="12000"/>
    <n v="16500"/>
    <x v="67"/>
    <n v="60000"/>
    <n v="22500"/>
    <n v="0.27272727272727271"/>
  </r>
  <r>
    <s v="ORD1891"/>
    <x v="339"/>
    <s v="Customer 128"/>
    <x v="2"/>
    <x v="3"/>
    <x v="0"/>
    <x v="6"/>
    <n v="3"/>
    <n v="1800"/>
    <n v="2800"/>
    <x v="46"/>
    <n v="5400"/>
    <n v="3000"/>
    <n v="0.35714285714285721"/>
  </r>
  <r>
    <s v="ORD1892"/>
    <x v="103"/>
    <s v="Customer 110"/>
    <x v="2"/>
    <x v="5"/>
    <x v="0"/>
    <x v="3"/>
    <n v="10"/>
    <n v="400"/>
    <n v="650"/>
    <x v="141"/>
    <n v="4000"/>
    <n v="2500"/>
    <n v="0.38461538461538458"/>
  </r>
  <r>
    <s v="ORD1893"/>
    <x v="207"/>
    <s v="Customer 97"/>
    <x v="1"/>
    <x v="4"/>
    <x v="1"/>
    <x v="7"/>
    <n v="15"/>
    <n v="42000"/>
    <n v="55000"/>
    <x v="163"/>
    <n v="630000"/>
    <n v="195000"/>
    <n v="0.23636363636363639"/>
  </r>
  <r>
    <s v="ORD1894"/>
    <x v="239"/>
    <s v="Customer 27"/>
    <x v="4"/>
    <x v="4"/>
    <x v="0"/>
    <x v="3"/>
    <n v="6"/>
    <n v="400"/>
    <n v="650"/>
    <x v="102"/>
    <n v="2400"/>
    <n v="1500"/>
    <n v="0.38461538461538458"/>
  </r>
  <r>
    <s v="ORD1895"/>
    <x v="263"/>
    <s v="Customer 114"/>
    <x v="0"/>
    <x v="1"/>
    <x v="1"/>
    <x v="1"/>
    <n v="8"/>
    <n v="15000"/>
    <n v="19500"/>
    <x v="121"/>
    <n v="120000"/>
    <n v="36000"/>
    <n v="0.23076923076923081"/>
  </r>
  <r>
    <s v="ORD1896"/>
    <x v="130"/>
    <s v="Customer 51"/>
    <x v="1"/>
    <x v="0"/>
    <x v="0"/>
    <x v="9"/>
    <n v="1"/>
    <n v="2500"/>
    <n v="3600"/>
    <x v="63"/>
    <n v="2500"/>
    <n v="1100"/>
    <n v="0.30555555555555558"/>
  </r>
  <r>
    <s v="ORD1897"/>
    <x v="280"/>
    <s v="Customer 2"/>
    <x v="2"/>
    <x v="4"/>
    <x v="0"/>
    <x v="8"/>
    <n v="2"/>
    <n v="900"/>
    <n v="1500"/>
    <x v="158"/>
    <n v="1800"/>
    <n v="1200"/>
    <n v="0.4"/>
  </r>
  <r>
    <s v="ORD1898"/>
    <x v="231"/>
    <s v="Customer 39"/>
    <x v="3"/>
    <x v="0"/>
    <x v="0"/>
    <x v="6"/>
    <n v="9"/>
    <n v="1800"/>
    <n v="2800"/>
    <x v="33"/>
    <n v="16200"/>
    <n v="9000"/>
    <n v="0.35714285714285721"/>
  </r>
  <r>
    <s v="ORD1899"/>
    <x v="124"/>
    <s v="Customer 28"/>
    <x v="3"/>
    <x v="0"/>
    <x v="0"/>
    <x v="0"/>
    <n v="12"/>
    <n v="1800"/>
    <n v="2600"/>
    <x v="14"/>
    <n v="21600"/>
    <n v="9600"/>
    <n v="0.30769230769230771"/>
  </r>
  <r>
    <s v="ORD1900"/>
    <x v="72"/>
    <s v="Customer 56"/>
    <x v="4"/>
    <x v="3"/>
    <x v="1"/>
    <x v="2"/>
    <n v="15"/>
    <n v="12000"/>
    <n v="16500"/>
    <x v="37"/>
    <n v="180000"/>
    <n v="67500"/>
    <n v="0.27272727272727271"/>
  </r>
  <r>
    <s v="ORD1901"/>
    <x v="171"/>
    <s v="Customer 116"/>
    <x v="2"/>
    <x v="2"/>
    <x v="0"/>
    <x v="9"/>
    <n v="16"/>
    <n v="2500"/>
    <n v="3600"/>
    <x v="143"/>
    <n v="40000"/>
    <n v="17600"/>
    <n v="0.30555555555555558"/>
  </r>
  <r>
    <s v="ORD1902"/>
    <x v="167"/>
    <s v="Customer 40"/>
    <x v="2"/>
    <x v="1"/>
    <x v="0"/>
    <x v="6"/>
    <n v="16"/>
    <n v="1800"/>
    <n v="2800"/>
    <x v="83"/>
    <n v="28800"/>
    <n v="16000"/>
    <n v="0.35714285714285721"/>
  </r>
  <r>
    <s v="ORD1903"/>
    <x v="217"/>
    <s v="Customer 135"/>
    <x v="1"/>
    <x v="4"/>
    <x v="2"/>
    <x v="4"/>
    <n v="4"/>
    <n v="8500"/>
    <n v="12000"/>
    <x v="103"/>
    <n v="34000"/>
    <n v="14000"/>
    <n v="0.29166666666666669"/>
  </r>
  <r>
    <s v="ORD1904"/>
    <x v="147"/>
    <s v="Customer 72"/>
    <x v="1"/>
    <x v="2"/>
    <x v="3"/>
    <x v="5"/>
    <n v="16"/>
    <n v="2800"/>
    <n v="4200"/>
    <x v="114"/>
    <n v="44800"/>
    <n v="22400"/>
    <n v="0.33333333333333331"/>
  </r>
  <r>
    <s v="ORD1905"/>
    <x v="206"/>
    <s v="Customer 91"/>
    <x v="2"/>
    <x v="5"/>
    <x v="3"/>
    <x v="5"/>
    <n v="17"/>
    <n v="2800"/>
    <n v="4200"/>
    <x v="137"/>
    <n v="47600"/>
    <n v="23800"/>
    <n v="0.33333333333333331"/>
  </r>
  <r>
    <s v="ORD1906"/>
    <x v="126"/>
    <s v="Customer 97"/>
    <x v="4"/>
    <x v="2"/>
    <x v="3"/>
    <x v="5"/>
    <n v="11"/>
    <n v="2800"/>
    <n v="4200"/>
    <x v="43"/>
    <n v="30800"/>
    <n v="15400"/>
    <n v="0.33333333333333331"/>
  </r>
  <r>
    <s v="ORD1907"/>
    <x v="266"/>
    <s v="Customer 69"/>
    <x v="0"/>
    <x v="3"/>
    <x v="0"/>
    <x v="8"/>
    <n v="11"/>
    <n v="900"/>
    <n v="1500"/>
    <x v="2"/>
    <n v="9900"/>
    <n v="6600"/>
    <n v="0.4"/>
  </r>
  <r>
    <s v="ORD1908"/>
    <x v="340"/>
    <s v="Customer 9"/>
    <x v="0"/>
    <x v="5"/>
    <x v="1"/>
    <x v="2"/>
    <n v="14"/>
    <n v="12000"/>
    <n v="16500"/>
    <x v="115"/>
    <n v="168000"/>
    <n v="63000"/>
    <n v="0.27272727272727271"/>
  </r>
  <r>
    <s v="ORD1909"/>
    <x v="205"/>
    <s v="Customer 136"/>
    <x v="4"/>
    <x v="4"/>
    <x v="0"/>
    <x v="6"/>
    <n v="7"/>
    <n v="1800"/>
    <n v="2800"/>
    <x v="130"/>
    <n v="12600"/>
    <n v="7000"/>
    <n v="0.35714285714285721"/>
  </r>
  <r>
    <s v="ORD1910"/>
    <x v="269"/>
    <s v="Customer 21"/>
    <x v="4"/>
    <x v="0"/>
    <x v="1"/>
    <x v="1"/>
    <n v="9"/>
    <n v="15000"/>
    <n v="19500"/>
    <x v="32"/>
    <n v="135000"/>
    <n v="40500"/>
    <n v="0.23076923076923081"/>
  </r>
  <r>
    <s v="ORD1911"/>
    <x v="195"/>
    <s v="Customer 94"/>
    <x v="4"/>
    <x v="4"/>
    <x v="0"/>
    <x v="0"/>
    <n v="17"/>
    <n v="1800"/>
    <n v="2600"/>
    <x v="132"/>
    <n v="30600"/>
    <n v="13600"/>
    <n v="0.30769230769230771"/>
  </r>
  <r>
    <s v="ORD1912"/>
    <x v="341"/>
    <s v="Customer 83"/>
    <x v="0"/>
    <x v="5"/>
    <x v="0"/>
    <x v="6"/>
    <n v="14"/>
    <n v="1800"/>
    <n v="2800"/>
    <x v="124"/>
    <n v="25200"/>
    <n v="14000"/>
    <n v="0.35714285714285721"/>
  </r>
  <r>
    <s v="ORD1913"/>
    <x v="106"/>
    <s v="Customer 85"/>
    <x v="1"/>
    <x v="5"/>
    <x v="3"/>
    <x v="5"/>
    <n v="6"/>
    <n v="2800"/>
    <n v="4200"/>
    <x v="33"/>
    <n v="16800"/>
    <n v="8400"/>
    <n v="0.33333333333333331"/>
  </r>
  <r>
    <s v="ORD1914"/>
    <x v="55"/>
    <s v="Customer 42"/>
    <x v="1"/>
    <x v="3"/>
    <x v="0"/>
    <x v="3"/>
    <n v="5"/>
    <n v="400"/>
    <n v="650"/>
    <x v="86"/>
    <n v="2000"/>
    <n v="1250"/>
    <n v="0.38461538461538458"/>
  </r>
  <r>
    <s v="ORD1915"/>
    <x v="288"/>
    <s v="Customer 3"/>
    <x v="1"/>
    <x v="3"/>
    <x v="3"/>
    <x v="5"/>
    <n v="6"/>
    <n v="2800"/>
    <n v="4200"/>
    <x v="33"/>
    <n v="16800"/>
    <n v="8400"/>
    <n v="0.33333333333333331"/>
  </r>
  <r>
    <s v="ORD1916"/>
    <x v="144"/>
    <s v="Customer 114"/>
    <x v="3"/>
    <x v="0"/>
    <x v="0"/>
    <x v="8"/>
    <n v="9"/>
    <n v="900"/>
    <n v="1500"/>
    <x v="129"/>
    <n v="8100"/>
    <n v="5400"/>
    <n v="0.4"/>
  </r>
  <r>
    <s v="ORD1917"/>
    <x v="32"/>
    <s v="Customer 137"/>
    <x v="4"/>
    <x v="5"/>
    <x v="3"/>
    <x v="5"/>
    <n v="16"/>
    <n v="2800"/>
    <n v="4200"/>
    <x v="114"/>
    <n v="44800"/>
    <n v="22400"/>
    <n v="0.33333333333333331"/>
  </r>
  <r>
    <s v="ORD1918"/>
    <x v="250"/>
    <s v="Customer 135"/>
    <x v="4"/>
    <x v="4"/>
    <x v="0"/>
    <x v="0"/>
    <n v="19"/>
    <n v="1800"/>
    <n v="2600"/>
    <x v="8"/>
    <n v="34200"/>
    <n v="15200"/>
    <n v="0.30769230769230771"/>
  </r>
  <r>
    <s v="ORD1919"/>
    <x v="155"/>
    <s v="Customer 53"/>
    <x v="2"/>
    <x v="3"/>
    <x v="1"/>
    <x v="2"/>
    <n v="8"/>
    <n v="12000"/>
    <n v="16500"/>
    <x v="31"/>
    <n v="96000"/>
    <n v="36000"/>
    <n v="0.27272727272727271"/>
  </r>
  <r>
    <s v="ORD1920"/>
    <x v="36"/>
    <s v="Customer 116"/>
    <x v="1"/>
    <x v="5"/>
    <x v="1"/>
    <x v="1"/>
    <n v="8"/>
    <n v="15000"/>
    <n v="19500"/>
    <x v="121"/>
    <n v="120000"/>
    <n v="36000"/>
    <n v="0.23076923076923081"/>
  </r>
  <r>
    <s v="ORD1921"/>
    <x v="122"/>
    <s v="Customer 33"/>
    <x v="4"/>
    <x v="1"/>
    <x v="1"/>
    <x v="7"/>
    <n v="5"/>
    <n v="42000"/>
    <n v="55000"/>
    <x v="97"/>
    <n v="210000"/>
    <n v="65000"/>
    <n v="0.23636363636363639"/>
  </r>
  <r>
    <s v="ORD1922"/>
    <x v="342"/>
    <s v="Customer 43"/>
    <x v="1"/>
    <x v="2"/>
    <x v="1"/>
    <x v="1"/>
    <n v="6"/>
    <n v="15000"/>
    <n v="19500"/>
    <x v="151"/>
    <n v="90000"/>
    <n v="27000"/>
    <n v="0.23076923076923081"/>
  </r>
  <r>
    <s v="ORD1923"/>
    <x v="48"/>
    <s v="Customer 18"/>
    <x v="2"/>
    <x v="1"/>
    <x v="2"/>
    <x v="4"/>
    <n v="20"/>
    <n v="8500"/>
    <n v="12000"/>
    <x v="39"/>
    <n v="170000"/>
    <n v="70000"/>
    <n v="0.29166666666666669"/>
  </r>
  <r>
    <s v="ORD1924"/>
    <x v="52"/>
    <s v="Customer 138"/>
    <x v="3"/>
    <x v="0"/>
    <x v="2"/>
    <x v="4"/>
    <n v="10"/>
    <n v="8500"/>
    <n v="12000"/>
    <x v="44"/>
    <n v="85000"/>
    <n v="35000"/>
    <n v="0.29166666666666669"/>
  </r>
  <r>
    <s v="ORD1925"/>
    <x v="329"/>
    <s v="Customer 16"/>
    <x v="3"/>
    <x v="4"/>
    <x v="0"/>
    <x v="0"/>
    <n v="20"/>
    <n v="1800"/>
    <n v="2600"/>
    <x v="142"/>
    <n v="36000"/>
    <n v="16000"/>
    <n v="0.30769230769230771"/>
  </r>
  <r>
    <s v="ORD1926"/>
    <x v="300"/>
    <s v="Customer 108"/>
    <x v="0"/>
    <x v="1"/>
    <x v="0"/>
    <x v="9"/>
    <n v="12"/>
    <n v="2500"/>
    <n v="3600"/>
    <x v="19"/>
    <n v="30000"/>
    <n v="13200"/>
    <n v="0.30555555555555558"/>
  </r>
  <r>
    <s v="ORD1927"/>
    <x v="212"/>
    <s v="Customer 60"/>
    <x v="0"/>
    <x v="3"/>
    <x v="1"/>
    <x v="7"/>
    <n v="12"/>
    <n v="42000"/>
    <n v="55000"/>
    <x v="140"/>
    <n v="504000"/>
    <n v="156000"/>
    <n v="0.23636363636363639"/>
  </r>
  <r>
    <s v="ORD1928"/>
    <x v="242"/>
    <s v="Customer 136"/>
    <x v="1"/>
    <x v="4"/>
    <x v="2"/>
    <x v="4"/>
    <n v="3"/>
    <n v="8500"/>
    <n v="12000"/>
    <x v="25"/>
    <n v="25500"/>
    <n v="10500"/>
    <n v="0.29166666666666669"/>
  </r>
  <r>
    <s v="ORD1929"/>
    <x v="154"/>
    <s v="Customer 125"/>
    <x v="3"/>
    <x v="5"/>
    <x v="0"/>
    <x v="0"/>
    <n v="3"/>
    <n v="1800"/>
    <n v="2600"/>
    <x v="60"/>
    <n v="5400"/>
    <n v="2400"/>
    <n v="0.30769230769230771"/>
  </r>
  <r>
    <s v="ORD1930"/>
    <x v="49"/>
    <s v="Customer 7"/>
    <x v="2"/>
    <x v="1"/>
    <x v="0"/>
    <x v="8"/>
    <n v="1"/>
    <n v="900"/>
    <n v="1500"/>
    <x v="34"/>
    <n v="900"/>
    <n v="600"/>
    <n v="0.4"/>
  </r>
  <r>
    <s v="ORD1931"/>
    <x v="202"/>
    <s v="Customer 52"/>
    <x v="1"/>
    <x v="4"/>
    <x v="0"/>
    <x v="3"/>
    <n v="10"/>
    <n v="400"/>
    <n v="650"/>
    <x v="141"/>
    <n v="4000"/>
    <n v="2500"/>
    <n v="0.38461538461538458"/>
  </r>
  <r>
    <s v="ORD1932"/>
    <x v="5"/>
    <s v="Customer 100"/>
    <x v="3"/>
    <x v="4"/>
    <x v="1"/>
    <x v="1"/>
    <n v="5"/>
    <n v="15000"/>
    <n v="19500"/>
    <x v="23"/>
    <n v="75000"/>
    <n v="22500"/>
    <n v="0.23076923076923081"/>
  </r>
  <r>
    <s v="ORD1933"/>
    <x v="82"/>
    <s v="Customer 142"/>
    <x v="3"/>
    <x v="0"/>
    <x v="0"/>
    <x v="3"/>
    <n v="15"/>
    <n v="400"/>
    <n v="650"/>
    <x v="9"/>
    <n v="6000"/>
    <n v="3750"/>
    <n v="0.38461538461538458"/>
  </r>
  <r>
    <s v="ORD1934"/>
    <x v="161"/>
    <s v="Customer 57"/>
    <x v="3"/>
    <x v="5"/>
    <x v="0"/>
    <x v="9"/>
    <n v="13"/>
    <n v="2500"/>
    <n v="3600"/>
    <x v="91"/>
    <n v="32500"/>
    <n v="14300"/>
    <n v="0.30555555555555558"/>
  </r>
  <r>
    <s v="ORD1935"/>
    <x v="324"/>
    <s v="Customer 110"/>
    <x v="3"/>
    <x v="5"/>
    <x v="1"/>
    <x v="1"/>
    <n v="19"/>
    <n v="15000"/>
    <n v="19500"/>
    <x v="162"/>
    <n v="285000"/>
    <n v="85500"/>
    <n v="0.23076923076923081"/>
  </r>
  <r>
    <s v="ORD1936"/>
    <x v="178"/>
    <s v="Customer 146"/>
    <x v="2"/>
    <x v="4"/>
    <x v="0"/>
    <x v="0"/>
    <n v="13"/>
    <n v="1800"/>
    <n v="2600"/>
    <x v="75"/>
    <n v="23400"/>
    <n v="10400"/>
    <n v="0.30769230769230771"/>
  </r>
  <r>
    <s v="ORD1937"/>
    <x v="218"/>
    <s v="Customer 79"/>
    <x v="2"/>
    <x v="3"/>
    <x v="0"/>
    <x v="3"/>
    <n v="20"/>
    <n v="400"/>
    <n v="650"/>
    <x v="70"/>
    <n v="8000"/>
    <n v="5000"/>
    <n v="0.38461538461538458"/>
  </r>
  <r>
    <s v="ORD1938"/>
    <x v="7"/>
    <s v="Customer 138"/>
    <x v="0"/>
    <x v="0"/>
    <x v="1"/>
    <x v="7"/>
    <n v="19"/>
    <n v="42000"/>
    <n v="55000"/>
    <x v="165"/>
    <n v="798000"/>
    <n v="247000"/>
    <n v="0.23636363636363639"/>
  </r>
  <r>
    <s v="ORD1939"/>
    <x v="269"/>
    <s v="Customer 39"/>
    <x v="3"/>
    <x v="3"/>
    <x v="0"/>
    <x v="0"/>
    <n v="6"/>
    <n v="1800"/>
    <n v="2600"/>
    <x v="166"/>
    <n v="10800"/>
    <n v="4800"/>
    <n v="0.30769230769230771"/>
  </r>
  <r>
    <s v="ORD1940"/>
    <x v="314"/>
    <s v="Customer 115"/>
    <x v="3"/>
    <x v="5"/>
    <x v="0"/>
    <x v="3"/>
    <n v="20"/>
    <n v="400"/>
    <n v="650"/>
    <x v="70"/>
    <n v="8000"/>
    <n v="5000"/>
    <n v="0.38461538461538458"/>
  </r>
  <r>
    <s v="ORD1941"/>
    <x v="108"/>
    <s v="Customer 150"/>
    <x v="1"/>
    <x v="4"/>
    <x v="3"/>
    <x v="5"/>
    <n v="13"/>
    <n v="2800"/>
    <n v="4200"/>
    <x v="82"/>
    <n v="36400"/>
    <n v="18200"/>
    <n v="0.33333333333333331"/>
  </r>
  <r>
    <s v="ORD1942"/>
    <x v="4"/>
    <s v="Customer 110"/>
    <x v="4"/>
    <x v="2"/>
    <x v="2"/>
    <x v="4"/>
    <n v="3"/>
    <n v="8500"/>
    <n v="12000"/>
    <x v="25"/>
    <n v="25500"/>
    <n v="10500"/>
    <n v="0.29166666666666669"/>
  </r>
  <r>
    <s v="ORD1943"/>
    <x v="170"/>
    <s v="Customer 131"/>
    <x v="4"/>
    <x v="4"/>
    <x v="0"/>
    <x v="0"/>
    <n v="12"/>
    <n v="1800"/>
    <n v="2600"/>
    <x v="14"/>
    <n v="21600"/>
    <n v="9600"/>
    <n v="0.30769230769230771"/>
  </r>
  <r>
    <s v="ORD1944"/>
    <x v="138"/>
    <s v="Customer 127"/>
    <x v="0"/>
    <x v="1"/>
    <x v="0"/>
    <x v="8"/>
    <n v="7"/>
    <n v="900"/>
    <n v="1500"/>
    <x v="17"/>
    <n v="6300"/>
    <n v="4200"/>
    <n v="0.4"/>
  </r>
  <r>
    <s v="ORD1945"/>
    <x v="335"/>
    <s v="Customer 40"/>
    <x v="2"/>
    <x v="5"/>
    <x v="1"/>
    <x v="2"/>
    <n v="16"/>
    <n v="12000"/>
    <n v="16500"/>
    <x v="57"/>
    <n v="192000"/>
    <n v="72000"/>
    <n v="0.27272727272727271"/>
  </r>
  <r>
    <s v="ORD1946"/>
    <x v="76"/>
    <s v="Customer 131"/>
    <x v="3"/>
    <x v="4"/>
    <x v="0"/>
    <x v="6"/>
    <n v="7"/>
    <n v="1800"/>
    <n v="2800"/>
    <x v="130"/>
    <n v="12600"/>
    <n v="7000"/>
    <n v="0.35714285714285721"/>
  </r>
  <r>
    <s v="ORD1947"/>
    <x v="139"/>
    <s v="Customer 95"/>
    <x v="3"/>
    <x v="4"/>
    <x v="0"/>
    <x v="6"/>
    <n v="12"/>
    <n v="1800"/>
    <n v="2800"/>
    <x v="100"/>
    <n v="21600"/>
    <n v="12000"/>
    <n v="0.35714285714285721"/>
  </r>
  <r>
    <s v="ORD1948"/>
    <x v="116"/>
    <s v="Customer 113"/>
    <x v="4"/>
    <x v="1"/>
    <x v="2"/>
    <x v="4"/>
    <n v="16"/>
    <n v="8500"/>
    <n v="12000"/>
    <x v="42"/>
    <n v="136000"/>
    <n v="56000"/>
    <n v="0.29166666666666669"/>
  </r>
  <r>
    <s v="ORD1949"/>
    <x v="219"/>
    <s v="Customer 23"/>
    <x v="4"/>
    <x v="0"/>
    <x v="0"/>
    <x v="3"/>
    <n v="12"/>
    <n v="400"/>
    <n v="650"/>
    <x v="60"/>
    <n v="4800"/>
    <n v="3000"/>
    <n v="0.38461538461538458"/>
  </r>
  <r>
    <s v="ORD1950"/>
    <x v="227"/>
    <s v="Customer 25"/>
    <x v="1"/>
    <x v="4"/>
    <x v="3"/>
    <x v="5"/>
    <n v="1"/>
    <n v="2800"/>
    <n v="4200"/>
    <x v="152"/>
    <n v="2800"/>
    <n v="1400"/>
    <n v="0.33333333333333331"/>
  </r>
  <r>
    <s v="ORD1951"/>
    <x v="202"/>
    <s v="Customer 43"/>
    <x v="4"/>
    <x v="0"/>
    <x v="0"/>
    <x v="0"/>
    <n v="8"/>
    <n v="1800"/>
    <n v="2600"/>
    <x v="105"/>
    <n v="14400"/>
    <n v="6400"/>
    <n v="0.30769230769230771"/>
  </r>
  <r>
    <s v="ORD1952"/>
    <x v="289"/>
    <s v="Customer 80"/>
    <x v="3"/>
    <x v="5"/>
    <x v="0"/>
    <x v="3"/>
    <n v="6"/>
    <n v="400"/>
    <n v="650"/>
    <x v="102"/>
    <n v="2400"/>
    <n v="1500"/>
    <n v="0.38461538461538458"/>
  </r>
  <r>
    <s v="ORD1953"/>
    <x v="343"/>
    <s v="Customer 6"/>
    <x v="2"/>
    <x v="4"/>
    <x v="0"/>
    <x v="3"/>
    <n v="14"/>
    <n v="400"/>
    <n v="650"/>
    <x v="69"/>
    <n v="5600"/>
    <n v="3500"/>
    <n v="0.38461538461538458"/>
  </r>
  <r>
    <s v="ORD1954"/>
    <x v="259"/>
    <s v="Customer 52"/>
    <x v="2"/>
    <x v="5"/>
    <x v="0"/>
    <x v="8"/>
    <n v="15"/>
    <n v="900"/>
    <n v="1500"/>
    <x v="21"/>
    <n v="13500"/>
    <n v="9000"/>
    <n v="0.4"/>
  </r>
  <r>
    <s v="ORD1955"/>
    <x v="314"/>
    <s v="Customer 123"/>
    <x v="4"/>
    <x v="2"/>
    <x v="0"/>
    <x v="8"/>
    <n v="3"/>
    <n v="900"/>
    <n v="1500"/>
    <x v="109"/>
    <n v="2700"/>
    <n v="1800"/>
    <n v="0.4"/>
  </r>
  <r>
    <s v="ORD1956"/>
    <x v="36"/>
    <s v="Customer 39"/>
    <x v="0"/>
    <x v="4"/>
    <x v="2"/>
    <x v="4"/>
    <n v="12"/>
    <n v="8500"/>
    <n v="12000"/>
    <x v="22"/>
    <n v="102000"/>
    <n v="42000"/>
    <n v="0.29166666666666669"/>
  </r>
  <r>
    <s v="ORD1957"/>
    <x v="73"/>
    <s v="Customer 101"/>
    <x v="4"/>
    <x v="3"/>
    <x v="0"/>
    <x v="8"/>
    <n v="12"/>
    <n v="900"/>
    <n v="1500"/>
    <x v="96"/>
    <n v="10800"/>
    <n v="7200"/>
    <n v="0.4"/>
  </r>
  <r>
    <s v="ORD1958"/>
    <x v="194"/>
    <s v="Customer 89"/>
    <x v="2"/>
    <x v="1"/>
    <x v="1"/>
    <x v="1"/>
    <n v="11"/>
    <n v="15000"/>
    <n v="19500"/>
    <x v="95"/>
    <n v="165000"/>
    <n v="49500"/>
    <n v="0.23076923076923081"/>
  </r>
  <r>
    <s v="ORD1959"/>
    <x v="259"/>
    <s v="Customer 34"/>
    <x v="1"/>
    <x v="4"/>
    <x v="0"/>
    <x v="6"/>
    <n v="12"/>
    <n v="1800"/>
    <n v="2800"/>
    <x v="100"/>
    <n v="21600"/>
    <n v="12000"/>
    <n v="0.35714285714285721"/>
  </r>
  <r>
    <s v="ORD1960"/>
    <x v="214"/>
    <s v="Customer 137"/>
    <x v="4"/>
    <x v="2"/>
    <x v="0"/>
    <x v="0"/>
    <n v="17"/>
    <n v="1800"/>
    <n v="2600"/>
    <x v="132"/>
    <n v="30600"/>
    <n v="13600"/>
    <n v="0.30769230769230771"/>
  </r>
  <r>
    <s v="ORD1961"/>
    <x v="328"/>
    <s v="Customer 61"/>
    <x v="0"/>
    <x v="5"/>
    <x v="1"/>
    <x v="7"/>
    <n v="12"/>
    <n v="42000"/>
    <n v="55000"/>
    <x v="140"/>
    <n v="504000"/>
    <n v="156000"/>
    <n v="0.23636363636363639"/>
  </r>
  <r>
    <s v="ORD1962"/>
    <x v="320"/>
    <s v="Customer 134"/>
    <x v="4"/>
    <x v="5"/>
    <x v="1"/>
    <x v="1"/>
    <n v="19"/>
    <n v="15000"/>
    <n v="19500"/>
    <x v="162"/>
    <n v="285000"/>
    <n v="85500"/>
    <n v="0.23076923076923081"/>
  </r>
  <r>
    <s v="ORD1963"/>
    <x v="344"/>
    <s v="Customer 55"/>
    <x v="3"/>
    <x v="4"/>
    <x v="0"/>
    <x v="3"/>
    <n v="8"/>
    <n v="400"/>
    <n v="650"/>
    <x v="131"/>
    <n v="3200"/>
    <n v="2000"/>
    <n v="0.38461538461538458"/>
  </r>
  <r>
    <s v="ORD1964"/>
    <x v="218"/>
    <s v="Customer 56"/>
    <x v="4"/>
    <x v="3"/>
    <x v="0"/>
    <x v="0"/>
    <n v="17"/>
    <n v="1800"/>
    <n v="2600"/>
    <x v="132"/>
    <n v="30600"/>
    <n v="13600"/>
    <n v="0.30769230769230771"/>
  </r>
  <r>
    <s v="ORD1965"/>
    <x v="337"/>
    <s v="Customer 33"/>
    <x v="3"/>
    <x v="2"/>
    <x v="0"/>
    <x v="9"/>
    <n v="5"/>
    <n v="2500"/>
    <n v="3600"/>
    <x v="96"/>
    <n v="12500"/>
    <n v="5500"/>
    <n v="0.30555555555555558"/>
  </r>
  <r>
    <s v="ORD1966"/>
    <x v="343"/>
    <s v="Customer 108"/>
    <x v="4"/>
    <x v="5"/>
    <x v="0"/>
    <x v="6"/>
    <n v="11"/>
    <n v="1800"/>
    <n v="2800"/>
    <x v="118"/>
    <n v="19800"/>
    <n v="11000"/>
    <n v="0.35714285714285721"/>
  </r>
  <r>
    <s v="ORD1967"/>
    <x v="345"/>
    <s v="Customer 41"/>
    <x v="1"/>
    <x v="0"/>
    <x v="1"/>
    <x v="2"/>
    <n v="3"/>
    <n v="12000"/>
    <n v="16500"/>
    <x v="38"/>
    <n v="36000"/>
    <n v="13500"/>
    <n v="0.27272727272727271"/>
  </r>
  <r>
    <s v="ORD1968"/>
    <x v="6"/>
    <s v="Customer 46"/>
    <x v="3"/>
    <x v="3"/>
    <x v="0"/>
    <x v="3"/>
    <n v="2"/>
    <n v="400"/>
    <n v="650"/>
    <x v="78"/>
    <n v="800"/>
    <n v="500"/>
    <n v="0.38461538461538458"/>
  </r>
  <r>
    <s v="ORD1969"/>
    <x v="280"/>
    <s v="Customer 42"/>
    <x v="2"/>
    <x v="3"/>
    <x v="1"/>
    <x v="1"/>
    <n v="2"/>
    <n v="15000"/>
    <n v="19500"/>
    <x v="1"/>
    <n v="30000"/>
    <n v="9000"/>
    <n v="0.23076923076923081"/>
  </r>
  <r>
    <s v="ORD1970"/>
    <x v="321"/>
    <s v="Customer 150"/>
    <x v="1"/>
    <x v="2"/>
    <x v="1"/>
    <x v="1"/>
    <n v="6"/>
    <n v="15000"/>
    <n v="19500"/>
    <x v="151"/>
    <n v="90000"/>
    <n v="27000"/>
    <n v="0.23076923076923081"/>
  </r>
  <r>
    <s v="ORD1971"/>
    <x v="36"/>
    <s v="Customer 31"/>
    <x v="3"/>
    <x v="1"/>
    <x v="2"/>
    <x v="4"/>
    <n v="15"/>
    <n v="8500"/>
    <n v="12000"/>
    <x v="138"/>
    <n v="127500"/>
    <n v="52500"/>
    <n v="0.29166666666666669"/>
  </r>
  <r>
    <s v="ORD1972"/>
    <x v="137"/>
    <s v="Customer 49"/>
    <x v="1"/>
    <x v="2"/>
    <x v="0"/>
    <x v="0"/>
    <n v="6"/>
    <n v="1800"/>
    <n v="2600"/>
    <x v="166"/>
    <n v="10800"/>
    <n v="4800"/>
    <n v="0.30769230769230771"/>
  </r>
  <r>
    <s v="ORD1973"/>
    <x v="344"/>
    <s v="Customer 76"/>
    <x v="4"/>
    <x v="5"/>
    <x v="0"/>
    <x v="9"/>
    <n v="14"/>
    <n v="2500"/>
    <n v="3600"/>
    <x v="59"/>
    <n v="35000"/>
    <n v="15400"/>
    <n v="0.30555555555555558"/>
  </r>
  <r>
    <s v="ORD1974"/>
    <x v="291"/>
    <s v="Customer 73"/>
    <x v="1"/>
    <x v="5"/>
    <x v="0"/>
    <x v="9"/>
    <n v="8"/>
    <n v="2500"/>
    <n v="3600"/>
    <x v="106"/>
    <n v="20000"/>
    <n v="8800"/>
    <n v="0.30555555555555558"/>
  </r>
  <r>
    <s v="ORD1975"/>
    <x v="173"/>
    <s v="Customer 142"/>
    <x v="2"/>
    <x v="5"/>
    <x v="0"/>
    <x v="0"/>
    <n v="2"/>
    <n v="1800"/>
    <n v="2600"/>
    <x v="131"/>
    <n v="3600"/>
    <n v="1600"/>
    <n v="0.30769230769230771"/>
  </r>
  <r>
    <s v="ORD1976"/>
    <x v="49"/>
    <s v="Customer 101"/>
    <x v="3"/>
    <x v="2"/>
    <x v="1"/>
    <x v="7"/>
    <n v="13"/>
    <n v="42000"/>
    <n v="55000"/>
    <x v="134"/>
    <n v="546000"/>
    <n v="169000"/>
    <n v="0.23636363636363639"/>
  </r>
  <r>
    <s v="ORD1977"/>
    <x v="327"/>
    <s v="Customer 127"/>
    <x v="2"/>
    <x v="1"/>
    <x v="1"/>
    <x v="2"/>
    <n v="5"/>
    <n v="12000"/>
    <n v="16500"/>
    <x v="67"/>
    <n v="60000"/>
    <n v="22500"/>
    <n v="0.27272727272727271"/>
  </r>
  <r>
    <s v="ORD1978"/>
    <x v="140"/>
    <s v="Customer 34"/>
    <x v="2"/>
    <x v="3"/>
    <x v="0"/>
    <x v="8"/>
    <n v="13"/>
    <n v="900"/>
    <n v="1500"/>
    <x v="92"/>
    <n v="11700"/>
    <n v="7800"/>
    <n v="0.4"/>
  </r>
  <r>
    <s v="ORD1979"/>
    <x v="150"/>
    <s v="Customer 17"/>
    <x v="2"/>
    <x v="5"/>
    <x v="0"/>
    <x v="3"/>
    <n v="16"/>
    <n v="400"/>
    <n v="650"/>
    <x v="4"/>
    <n v="6400"/>
    <n v="4000"/>
    <n v="0.38461538461538458"/>
  </r>
  <r>
    <s v="ORD1980"/>
    <x v="305"/>
    <s v="Customer 102"/>
    <x v="3"/>
    <x v="4"/>
    <x v="1"/>
    <x v="2"/>
    <n v="3"/>
    <n v="12000"/>
    <n v="16500"/>
    <x v="38"/>
    <n v="36000"/>
    <n v="13500"/>
    <n v="0.27272727272727271"/>
  </r>
  <r>
    <s v="ORD1981"/>
    <x v="192"/>
    <s v="Customer 143"/>
    <x v="2"/>
    <x v="4"/>
    <x v="0"/>
    <x v="3"/>
    <n v="17"/>
    <n v="400"/>
    <n v="650"/>
    <x v="49"/>
    <n v="6800"/>
    <n v="4250"/>
    <n v="0.38461538461538458"/>
  </r>
  <r>
    <s v="ORD1982"/>
    <x v="308"/>
    <s v="Customer 19"/>
    <x v="0"/>
    <x v="3"/>
    <x v="1"/>
    <x v="7"/>
    <n v="1"/>
    <n v="42000"/>
    <n v="55000"/>
    <x v="89"/>
    <n v="42000"/>
    <n v="13000"/>
    <n v="0.23636363636363639"/>
  </r>
  <r>
    <s v="ORD1983"/>
    <x v="208"/>
    <s v="Customer 57"/>
    <x v="3"/>
    <x v="5"/>
    <x v="1"/>
    <x v="1"/>
    <n v="11"/>
    <n v="15000"/>
    <n v="19500"/>
    <x v="95"/>
    <n v="165000"/>
    <n v="49500"/>
    <n v="0.23076923076923081"/>
  </r>
  <r>
    <s v="ORD1984"/>
    <x v="106"/>
    <s v="Customer 136"/>
    <x v="4"/>
    <x v="3"/>
    <x v="0"/>
    <x v="6"/>
    <n v="12"/>
    <n v="1800"/>
    <n v="2800"/>
    <x v="100"/>
    <n v="21600"/>
    <n v="12000"/>
    <n v="0.35714285714285721"/>
  </r>
  <r>
    <s v="ORD1985"/>
    <x v="346"/>
    <s v="Customer 127"/>
    <x v="4"/>
    <x v="0"/>
    <x v="0"/>
    <x v="8"/>
    <n v="13"/>
    <n v="900"/>
    <n v="1500"/>
    <x v="92"/>
    <n v="11700"/>
    <n v="7800"/>
    <n v="0.4"/>
  </r>
  <r>
    <s v="ORD1986"/>
    <x v="347"/>
    <s v="Customer 141"/>
    <x v="2"/>
    <x v="0"/>
    <x v="1"/>
    <x v="2"/>
    <n v="13"/>
    <n v="12000"/>
    <n v="16500"/>
    <x v="95"/>
    <n v="156000"/>
    <n v="58500"/>
    <n v="0.27272727272727271"/>
  </r>
  <r>
    <s v="ORD1987"/>
    <x v="208"/>
    <s v="Customer 5"/>
    <x v="4"/>
    <x v="4"/>
    <x v="0"/>
    <x v="9"/>
    <n v="16"/>
    <n v="2500"/>
    <n v="3600"/>
    <x v="143"/>
    <n v="40000"/>
    <n v="17600"/>
    <n v="0.30555555555555558"/>
  </r>
  <r>
    <s v="ORD1988"/>
    <x v="11"/>
    <s v="Customer 105"/>
    <x v="0"/>
    <x v="5"/>
    <x v="0"/>
    <x v="3"/>
    <n v="14"/>
    <n v="400"/>
    <n v="650"/>
    <x v="69"/>
    <n v="5600"/>
    <n v="3500"/>
    <n v="0.38461538461538458"/>
  </r>
  <r>
    <s v="ORD1989"/>
    <x v="14"/>
    <s v="Customer 106"/>
    <x v="0"/>
    <x v="0"/>
    <x v="0"/>
    <x v="9"/>
    <n v="4"/>
    <n v="2500"/>
    <n v="3600"/>
    <x v="148"/>
    <n v="10000"/>
    <n v="4400"/>
    <n v="0.30555555555555558"/>
  </r>
  <r>
    <s v="ORD1990"/>
    <x v="2"/>
    <s v="Customer 90"/>
    <x v="0"/>
    <x v="5"/>
    <x v="0"/>
    <x v="6"/>
    <n v="9"/>
    <n v="1800"/>
    <n v="2800"/>
    <x v="33"/>
    <n v="16200"/>
    <n v="9000"/>
    <n v="0.35714285714285721"/>
  </r>
  <r>
    <s v="ORD1991"/>
    <x v="304"/>
    <s v="Customer 77"/>
    <x v="0"/>
    <x v="3"/>
    <x v="3"/>
    <x v="5"/>
    <n v="12"/>
    <n v="2800"/>
    <n v="4200"/>
    <x v="59"/>
    <n v="33600"/>
    <n v="16800"/>
    <n v="0.33333333333333331"/>
  </r>
  <r>
    <s v="ORD1992"/>
    <x v="184"/>
    <s v="Customer 132"/>
    <x v="4"/>
    <x v="0"/>
    <x v="1"/>
    <x v="1"/>
    <n v="5"/>
    <n v="15000"/>
    <n v="19500"/>
    <x v="23"/>
    <n v="75000"/>
    <n v="22500"/>
    <n v="0.23076923076923081"/>
  </r>
  <r>
    <s v="ORD1993"/>
    <x v="180"/>
    <s v="Customer 42"/>
    <x v="4"/>
    <x v="4"/>
    <x v="2"/>
    <x v="4"/>
    <n v="15"/>
    <n v="8500"/>
    <n v="12000"/>
    <x v="138"/>
    <n v="127500"/>
    <n v="52500"/>
    <n v="0.29166666666666669"/>
  </r>
  <r>
    <s v="ORD1994"/>
    <x v="260"/>
    <s v="Customer 108"/>
    <x v="0"/>
    <x v="4"/>
    <x v="0"/>
    <x v="6"/>
    <n v="19"/>
    <n v="1800"/>
    <n v="2800"/>
    <x v="153"/>
    <n v="34200"/>
    <n v="19000"/>
    <n v="0.35714285714285721"/>
  </r>
  <r>
    <s v="ORD1995"/>
    <x v="298"/>
    <s v="Customer 31"/>
    <x v="4"/>
    <x v="2"/>
    <x v="0"/>
    <x v="0"/>
    <n v="14"/>
    <n v="1800"/>
    <n v="2600"/>
    <x v="51"/>
    <n v="25200"/>
    <n v="11200"/>
    <n v="0.30769230769230771"/>
  </r>
  <r>
    <s v="ORD1996"/>
    <x v="348"/>
    <s v="Customer 118"/>
    <x v="1"/>
    <x v="0"/>
    <x v="2"/>
    <x v="4"/>
    <n v="14"/>
    <n v="8500"/>
    <n v="12000"/>
    <x v="116"/>
    <n v="119000"/>
    <n v="49000"/>
    <n v="0.29166666666666669"/>
  </r>
  <r>
    <s v="ORD1997"/>
    <x v="331"/>
    <s v="Customer 132"/>
    <x v="0"/>
    <x v="4"/>
    <x v="0"/>
    <x v="0"/>
    <n v="5"/>
    <n v="1800"/>
    <n v="2600"/>
    <x v="70"/>
    <n v="9000"/>
    <n v="4000"/>
    <n v="0.30769230769230771"/>
  </r>
  <r>
    <s v="ORD1998"/>
    <x v="174"/>
    <s v="Customer 41"/>
    <x v="0"/>
    <x v="0"/>
    <x v="0"/>
    <x v="9"/>
    <n v="19"/>
    <n v="2500"/>
    <n v="3600"/>
    <x v="128"/>
    <n v="47500"/>
    <n v="20900"/>
    <n v="0.30555555555555558"/>
  </r>
  <r>
    <s v="ORD1999"/>
    <x v="247"/>
    <s v="Customer 133"/>
    <x v="1"/>
    <x v="0"/>
    <x v="1"/>
    <x v="7"/>
    <n v="2"/>
    <n v="42000"/>
    <n v="55000"/>
    <x v="16"/>
    <n v="84000"/>
    <n v="26000"/>
    <n v="0.236363636363636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7E9313-6A33-47A7-B9DD-50A839037C9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6">
    <pivotField showAll="0"/>
    <pivotField numFmtId="164" showAll="0">
      <items count="350">
        <item x="178"/>
        <item x="222"/>
        <item x="242"/>
        <item x="291"/>
        <item x="5"/>
        <item x="37"/>
        <item x="261"/>
        <item x="266"/>
        <item x="249"/>
        <item x="113"/>
        <item x="135"/>
        <item x="306"/>
        <item x="218"/>
        <item x="216"/>
        <item x="55"/>
        <item x="29"/>
        <item x="211"/>
        <item x="139"/>
        <item x="290"/>
        <item x="77"/>
        <item x="111"/>
        <item x="75"/>
        <item x="78"/>
        <item x="339"/>
        <item x="163"/>
        <item x="187"/>
        <item x="142"/>
        <item x="292"/>
        <item x="305"/>
        <item x="86"/>
        <item x="160"/>
        <item x="53"/>
        <item x="63"/>
        <item x="275"/>
        <item x="215"/>
        <item x="23"/>
        <item x="195"/>
        <item x="109"/>
        <item x="159"/>
        <item x="304"/>
        <item x="7"/>
        <item x="186"/>
        <item x="11"/>
        <item x="1"/>
        <item x="88"/>
        <item x="260"/>
        <item x="82"/>
        <item x="174"/>
        <item x="146"/>
        <item x="50"/>
        <item x="325"/>
        <item x="64"/>
        <item x="58"/>
        <item x="80"/>
        <item x="95"/>
        <item x="94"/>
        <item x="35"/>
        <item x="194"/>
        <item x="340"/>
        <item x="295"/>
        <item x="48"/>
        <item x="103"/>
        <item x="310"/>
        <item x="209"/>
        <item x="9"/>
        <item x="307"/>
        <item x="276"/>
        <item x="192"/>
        <item x="200"/>
        <item x="176"/>
        <item x="148"/>
        <item x="336"/>
        <item x="246"/>
        <item x="175"/>
        <item x="24"/>
        <item x="335"/>
        <item x="268"/>
        <item x="300"/>
        <item x="328"/>
        <item x="271"/>
        <item x="269"/>
        <item x="81"/>
        <item x="270"/>
        <item x="344"/>
        <item x="168"/>
        <item x="130"/>
        <item x="100"/>
        <item x="197"/>
        <item x="251"/>
        <item x="106"/>
        <item x="253"/>
        <item x="279"/>
        <item x="183"/>
        <item x="67"/>
        <item x="87"/>
        <item x="177"/>
        <item x="47"/>
        <item x="181"/>
        <item x="40"/>
        <item x="232"/>
        <item x="236"/>
        <item x="179"/>
        <item x="342"/>
        <item x="18"/>
        <item x="3"/>
        <item x="93"/>
        <item x="201"/>
        <item x="208"/>
        <item x="144"/>
        <item x="31"/>
        <item x="157"/>
        <item x="233"/>
        <item x="46"/>
        <item x="259"/>
        <item x="60"/>
        <item x="132"/>
        <item x="34"/>
        <item x="39"/>
        <item x="54"/>
        <item x="98"/>
        <item x="265"/>
        <item x="311"/>
        <item x="145"/>
        <item x="84"/>
        <item x="302"/>
        <item x="108"/>
        <item x="27"/>
        <item x="125"/>
        <item x="141"/>
        <item x="62"/>
        <item x="14"/>
        <item x="333"/>
        <item x="319"/>
        <item x="38"/>
        <item x="331"/>
        <item x="207"/>
        <item x="149"/>
        <item x="122"/>
        <item x="118"/>
        <item x="203"/>
        <item x="327"/>
        <item x="71"/>
        <item x="127"/>
        <item x="51"/>
        <item x="68"/>
        <item x="173"/>
        <item x="191"/>
        <item x="343"/>
        <item x="324"/>
        <item x="25"/>
        <item x="66"/>
        <item x="286"/>
        <item x="140"/>
        <item x="147"/>
        <item x="112"/>
        <item x="72"/>
        <item x="267"/>
        <item x="193"/>
        <item x="44"/>
        <item x="318"/>
        <item x="293"/>
        <item x="99"/>
        <item x="206"/>
        <item x="101"/>
        <item x="26"/>
        <item x="323"/>
        <item x="90"/>
        <item x="33"/>
        <item x="153"/>
        <item x="213"/>
        <item x="262"/>
        <item x="188"/>
        <item x="42"/>
        <item x="117"/>
        <item x="248"/>
        <item x="285"/>
        <item x="329"/>
        <item x="294"/>
        <item x="247"/>
        <item x="202"/>
        <item x="167"/>
        <item x="224"/>
        <item x="298"/>
        <item x="17"/>
        <item x="312"/>
        <item x="199"/>
        <item x="338"/>
        <item x="83"/>
        <item x="69"/>
        <item x="126"/>
        <item x="226"/>
        <item x="10"/>
        <item x="237"/>
        <item x="121"/>
        <item x="277"/>
        <item x="230"/>
        <item x="169"/>
        <item x="171"/>
        <item x="231"/>
        <item x="229"/>
        <item x="73"/>
        <item x="131"/>
        <item x="301"/>
        <item x="273"/>
        <item x="19"/>
        <item x="13"/>
        <item x="258"/>
        <item x="116"/>
        <item x="158"/>
        <item x="205"/>
        <item x="12"/>
        <item x="219"/>
        <item x="297"/>
        <item x="156"/>
        <item x="282"/>
        <item x="105"/>
        <item x="227"/>
        <item x="228"/>
        <item x="280"/>
        <item x="184"/>
        <item x="129"/>
        <item x="170"/>
        <item x="4"/>
        <item x="299"/>
        <item x="57"/>
        <item x="245"/>
        <item x="238"/>
        <item x="20"/>
        <item x="210"/>
        <item x="8"/>
        <item x="254"/>
        <item x="296"/>
        <item x="137"/>
        <item x="22"/>
        <item x="204"/>
        <item x="28"/>
        <item x="221"/>
        <item x="185"/>
        <item x="316"/>
        <item x="234"/>
        <item x="96"/>
        <item x="217"/>
        <item x="348"/>
        <item x="15"/>
        <item x="143"/>
        <item x="264"/>
        <item x="337"/>
        <item x="166"/>
        <item x="346"/>
        <item x="138"/>
        <item x="309"/>
        <item x="49"/>
        <item x="281"/>
        <item x="317"/>
        <item x="115"/>
        <item x="255"/>
        <item x="239"/>
        <item x="85"/>
        <item x="256"/>
        <item x="110"/>
        <item x="284"/>
        <item x="223"/>
        <item x="303"/>
        <item x="52"/>
        <item x="315"/>
        <item x="214"/>
        <item x="43"/>
        <item x="252"/>
        <item x="288"/>
        <item x="107"/>
        <item x="155"/>
        <item x="250"/>
        <item x="196"/>
        <item x="36"/>
        <item x="21"/>
        <item x="97"/>
        <item x="0"/>
        <item x="133"/>
        <item x="180"/>
        <item x="314"/>
        <item x="274"/>
        <item x="198"/>
        <item x="243"/>
        <item x="30"/>
        <item x="263"/>
        <item x="124"/>
        <item x="79"/>
        <item x="334"/>
        <item x="41"/>
        <item x="65"/>
        <item x="287"/>
        <item x="2"/>
        <item x="6"/>
        <item x="76"/>
        <item x="161"/>
        <item x="332"/>
        <item x="326"/>
        <item x="283"/>
        <item x="321"/>
        <item x="154"/>
        <item x="91"/>
        <item x="308"/>
        <item x="330"/>
        <item x="102"/>
        <item x="272"/>
        <item x="341"/>
        <item x="241"/>
        <item x="322"/>
        <item x="92"/>
        <item x="70"/>
        <item x="189"/>
        <item x="61"/>
        <item x="128"/>
        <item x="345"/>
        <item x="347"/>
        <item x="212"/>
        <item x="123"/>
        <item x="89"/>
        <item x="45"/>
        <item x="320"/>
        <item x="235"/>
        <item x="114"/>
        <item x="119"/>
        <item x="289"/>
        <item x="136"/>
        <item x="182"/>
        <item x="220"/>
        <item x="120"/>
        <item x="164"/>
        <item x="278"/>
        <item x="16"/>
        <item x="74"/>
        <item x="56"/>
        <item x="190"/>
        <item x="150"/>
        <item x="162"/>
        <item x="165"/>
        <item x="240"/>
        <item x="244"/>
        <item x="32"/>
        <item x="104"/>
        <item x="151"/>
        <item x="152"/>
        <item x="313"/>
        <item x="225"/>
        <item x="134"/>
        <item x="257"/>
        <item x="172"/>
        <item x="59"/>
        <item t="default"/>
      </items>
    </pivotField>
    <pivotField showAll="0"/>
    <pivotField showAll="0">
      <items count="6">
        <item x="2"/>
        <item x="0"/>
        <item x="3"/>
        <item x="4"/>
        <item x="1"/>
        <item t="default"/>
      </items>
    </pivotField>
    <pivotField showAll="0"/>
    <pivotField showAll="0"/>
    <pivotField axis="axisRow" showAll="0" sortType="descending">
      <items count="11">
        <item x="6"/>
        <item x="8"/>
        <item x="7"/>
        <item x="2"/>
        <item x="3"/>
        <item x="4"/>
        <item x="9"/>
        <item x="5"/>
        <item x="1"/>
        <item x="0"/>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dataField="1" numFmtId="165" showAll="0"/>
    <pivotField numFmtId="165" showAll="0"/>
    <pivotField numFmtId="165" showAll="0"/>
    <pivotField numFmtId="10" showAll="0"/>
    <pivotField showAll="0" defaultSubtotal="0"/>
    <pivotField showAll="0" defaultSubtotal="0">
      <items count="4">
        <item x="0"/>
        <item x="1"/>
        <item x="2"/>
        <item x="3"/>
      </items>
    </pivotField>
  </pivotFields>
  <rowFields count="1">
    <field x="6"/>
  </rowFields>
  <rowItems count="11">
    <i>
      <x v="2"/>
    </i>
    <i>
      <x v="3"/>
    </i>
    <i>
      <x v="8"/>
    </i>
    <i>
      <x v="5"/>
    </i>
    <i>
      <x v="7"/>
    </i>
    <i>
      <x v="6"/>
    </i>
    <i>
      <x v="9"/>
    </i>
    <i>
      <x/>
    </i>
    <i>
      <x v="1"/>
    </i>
    <i>
      <x v="4"/>
    </i>
    <i t="grand">
      <x/>
    </i>
  </rowItems>
  <colItems count="1">
    <i/>
  </colItems>
  <dataFields count="1">
    <dataField name="Sum of Revenue" fld="10"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0594AB-A86A-4003-AFDA-BEC79ACE919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6">
    <pivotField showAll="0"/>
    <pivotField numFmtId="164" showAll="0">
      <items count="350">
        <item x="178"/>
        <item x="222"/>
        <item x="242"/>
        <item x="291"/>
        <item x="5"/>
        <item x="37"/>
        <item x="261"/>
        <item x="266"/>
        <item x="249"/>
        <item x="113"/>
        <item x="135"/>
        <item x="306"/>
        <item x="218"/>
        <item x="216"/>
        <item x="55"/>
        <item x="29"/>
        <item x="211"/>
        <item x="139"/>
        <item x="290"/>
        <item x="77"/>
        <item x="111"/>
        <item x="75"/>
        <item x="78"/>
        <item x="339"/>
        <item x="163"/>
        <item x="187"/>
        <item x="142"/>
        <item x="292"/>
        <item x="305"/>
        <item x="86"/>
        <item x="160"/>
        <item x="53"/>
        <item x="63"/>
        <item x="275"/>
        <item x="215"/>
        <item x="23"/>
        <item x="195"/>
        <item x="109"/>
        <item x="159"/>
        <item x="304"/>
        <item x="7"/>
        <item x="186"/>
        <item x="11"/>
        <item x="1"/>
        <item x="88"/>
        <item x="260"/>
        <item x="82"/>
        <item x="174"/>
        <item x="146"/>
        <item x="50"/>
        <item x="325"/>
        <item x="64"/>
        <item x="58"/>
        <item x="80"/>
        <item x="95"/>
        <item x="94"/>
        <item x="35"/>
        <item x="194"/>
        <item x="340"/>
        <item x="295"/>
        <item x="48"/>
        <item x="103"/>
        <item x="310"/>
        <item x="209"/>
        <item x="9"/>
        <item x="307"/>
        <item x="276"/>
        <item x="192"/>
        <item x="200"/>
        <item x="176"/>
        <item x="148"/>
        <item x="336"/>
        <item x="246"/>
        <item x="175"/>
        <item x="24"/>
        <item x="335"/>
        <item x="268"/>
        <item x="300"/>
        <item x="328"/>
        <item x="271"/>
        <item x="269"/>
        <item x="81"/>
        <item x="270"/>
        <item x="344"/>
        <item x="168"/>
        <item x="130"/>
        <item x="100"/>
        <item x="197"/>
        <item x="251"/>
        <item x="106"/>
        <item x="253"/>
        <item x="279"/>
        <item x="183"/>
        <item x="67"/>
        <item x="87"/>
        <item x="177"/>
        <item x="47"/>
        <item x="181"/>
        <item x="40"/>
        <item x="232"/>
        <item x="236"/>
        <item x="179"/>
        <item x="342"/>
        <item x="18"/>
        <item x="3"/>
        <item x="93"/>
        <item x="201"/>
        <item x="208"/>
        <item x="144"/>
        <item x="31"/>
        <item x="157"/>
        <item x="233"/>
        <item x="46"/>
        <item x="259"/>
        <item x="60"/>
        <item x="132"/>
        <item x="34"/>
        <item x="39"/>
        <item x="54"/>
        <item x="98"/>
        <item x="265"/>
        <item x="311"/>
        <item x="145"/>
        <item x="84"/>
        <item x="302"/>
        <item x="108"/>
        <item x="27"/>
        <item x="125"/>
        <item x="141"/>
        <item x="62"/>
        <item x="14"/>
        <item x="333"/>
        <item x="319"/>
        <item x="38"/>
        <item x="331"/>
        <item x="207"/>
        <item x="149"/>
        <item x="122"/>
        <item x="118"/>
        <item x="203"/>
        <item x="327"/>
        <item x="71"/>
        <item x="127"/>
        <item x="51"/>
        <item x="68"/>
        <item x="173"/>
        <item x="191"/>
        <item x="343"/>
        <item x="324"/>
        <item x="25"/>
        <item x="66"/>
        <item x="286"/>
        <item x="140"/>
        <item x="147"/>
        <item x="112"/>
        <item x="72"/>
        <item x="267"/>
        <item x="193"/>
        <item x="44"/>
        <item x="318"/>
        <item x="293"/>
        <item x="99"/>
        <item x="206"/>
        <item x="101"/>
        <item x="26"/>
        <item x="323"/>
        <item x="90"/>
        <item x="33"/>
        <item x="153"/>
        <item x="213"/>
        <item x="262"/>
        <item x="188"/>
        <item x="42"/>
        <item x="117"/>
        <item x="248"/>
        <item x="285"/>
        <item x="329"/>
        <item x="294"/>
        <item x="247"/>
        <item x="202"/>
        <item x="167"/>
        <item x="224"/>
        <item x="298"/>
        <item x="17"/>
        <item x="312"/>
        <item x="199"/>
        <item x="338"/>
        <item x="83"/>
        <item x="69"/>
        <item x="126"/>
        <item x="226"/>
        <item x="10"/>
        <item x="237"/>
        <item x="121"/>
        <item x="277"/>
        <item x="230"/>
        <item x="169"/>
        <item x="171"/>
        <item x="231"/>
        <item x="229"/>
        <item x="73"/>
        <item x="131"/>
        <item x="301"/>
        <item x="273"/>
        <item x="19"/>
        <item x="13"/>
        <item x="258"/>
        <item x="116"/>
        <item x="158"/>
        <item x="205"/>
        <item x="12"/>
        <item x="219"/>
        <item x="297"/>
        <item x="156"/>
        <item x="282"/>
        <item x="105"/>
        <item x="227"/>
        <item x="228"/>
        <item x="280"/>
        <item x="184"/>
        <item x="129"/>
        <item x="170"/>
        <item x="4"/>
        <item x="299"/>
        <item x="57"/>
        <item x="245"/>
        <item x="238"/>
        <item x="20"/>
        <item x="210"/>
        <item x="8"/>
        <item x="254"/>
        <item x="296"/>
        <item x="137"/>
        <item x="22"/>
        <item x="204"/>
        <item x="28"/>
        <item x="221"/>
        <item x="185"/>
        <item x="316"/>
        <item x="234"/>
        <item x="96"/>
        <item x="217"/>
        <item x="348"/>
        <item x="15"/>
        <item x="143"/>
        <item x="264"/>
        <item x="337"/>
        <item x="166"/>
        <item x="346"/>
        <item x="138"/>
        <item x="309"/>
        <item x="49"/>
        <item x="281"/>
        <item x="317"/>
        <item x="115"/>
        <item x="255"/>
        <item x="239"/>
        <item x="85"/>
        <item x="256"/>
        <item x="110"/>
        <item x="284"/>
        <item x="223"/>
        <item x="303"/>
        <item x="52"/>
        <item x="315"/>
        <item x="214"/>
        <item x="43"/>
        <item x="252"/>
        <item x="288"/>
        <item x="107"/>
        <item x="155"/>
        <item x="250"/>
        <item x="196"/>
        <item x="36"/>
        <item x="21"/>
        <item x="97"/>
        <item x="0"/>
        <item x="133"/>
        <item x="180"/>
        <item x="314"/>
        <item x="274"/>
        <item x="198"/>
        <item x="243"/>
        <item x="30"/>
        <item x="263"/>
        <item x="124"/>
        <item x="79"/>
        <item x="334"/>
        <item x="41"/>
        <item x="65"/>
        <item x="287"/>
        <item x="2"/>
        <item x="6"/>
        <item x="76"/>
        <item x="161"/>
        <item x="332"/>
        <item x="326"/>
        <item x="283"/>
        <item x="321"/>
        <item x="154"/>
        <item x="91"/>
        <item x="308"/>
        <item x="330"/>
        <item x="102"/>
        <item x="272"/>
        <item x="341"/>
        <item x="241"/>
        <item x="322"/>
        <item x="92"/>
        <item x="70"/>
        <item x="189"/>
        <item x="61"/>
        <item x="128"/>
        <item x="345"/>
        <item x="347"/>
        <item x="212"/>
        <item x="123"/>
        <item x="89"/>
        <item x="45"/>
        <item x="320"/>
        <item x="235"/>
        <item x="114"/>
        <item x="119"/>
        <item x="289"/>
        <item x="136"/>
        <item x="182"/>
        <item x="220"/>
        <item x="120"/>
        <item x="164"/>
        <item x="278"/>
        <item x="16"/>
        <item x="74"/>
        <item x="56"/>
        <item x="190"/>
        <item x="150"/>
        <item x="162"/>
        <item x="165"/>
        <item x="240"/>
        <item x="244"/>
        <item x="32"/>
        <item x="104"/>
        <item x="151"/>
        <item x="152"/>
        <item x="313"/>
        <item x="225"/>
        <item x="134"/>
        <item x="257"/>
        <item x="172"/>
        <item x="59"/>
        <item t="default"/>
      </items>
    </pivotField>
    <pivotField showAll="0"/>
    <pivotField showAll="0">
      <items count="6">
        <item x="2"/>
        <item x="0"/>
        <item x="3"/>
        <item x="4"/>
        <item x="1"/>
        <item t="default"/>
      </items>
    </pivotField>
    <pivotField axis="axisRow" showAll="0">
      <items count="7">
        <item x="1"/>
        <item x="3"/>
        <item x="5"/>
        <item x="0"/>
        <item x="4"/>
        <item x="2"/>
        <item t="default"/>
      </items>
    </pivotField>
    <pivotField showAll="0"/>
    <pivotField showAll="0"/>
    <pivotField showAll="0"/>
    <pivotField numFmtId="165" showAll="0"/>
    <pivotField showAll="0"/>
    <pivotField dataField="1" numFmtId="165" showAll="0"/>
    <pivotField numFmtId="165" showAll="0"/>
    <pivotField numFmtId="165" showAll="0"/>
    <pivotField numFmtId="10" showAll="0"/>
    <pivotField showAll="0" defaultSubtotal="0"/>
    <pivotField showAll="0" defaultSubtotal="0">
      <items count="4">
        <item x="0"/>
        <item x="1"/>
        <item x="2"/>
        <item x="3"/>
      </items>
    </pivotField>
  </pivotFields>
  <rowFields count="1">
    <field x="4"/>
  </rowFields>
  <rowItems count="7">
    <i>
      <x/>
    </i>
    <i>
      <x v="1"/>
    </i>
    <i>
      <x v="2"/>
    </i>
    <i>
      <x v="3"/>
    </i>
    <i>
      <x v="4"/>
    </i>
    <i>
      <x v="5"/>
    </i>
    <i t="grand">
      <x/>
    </i>
  </rowItems>
  <colItems count="1">
    <i/>
  </colItems>
  <dataFields count="1">
    <dataField name="Sum of Revenue" fld="10"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610E3A-A733-4AEF-8D12-2327285227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7" firstHeaderRow="1" firstDataRow="1" firstDataCol="1"/>
  <pivotFields count="16">
    <pivotField showAll="0"/>
    <pivotField numFmtId="164" showAll="0">
      <items count="350">
        <item x="178"/>
        <item x="222"/>
        <item x="242"/>
        <item x="291"/>
        <item x="5"/>
        <item x="37"/>
        <item x="261"/>
        <item x="266"/>
        <item x="249"/>
        <item x="113"/>
        <item x="135"/>
        <item x="306"/>
        <item x="218"/>
        <item x="216"/>
        <item x="55"/>
        <item x="29"/>
        <item x="211"/>
        <item x="139"/>
        <item x="290"/>
        <item x="77"/>
        <item x="111"/>
        <item x="75"/>
        <item x="78"/>
        <item x="339"/>
        <item x="163"/>
        <item x="187"/>
        <item x="142"/>
        <item x="292"/>
        <item x="305"/>
        <item x="86"/>
        <item x="160"/>
        <item x="53"/>
        <item x="63"/>
        <item x="275"/>
        <item x="215"/>
        <item x="23"/>
        <item x="195"/>
        <item x="109"/>
        <item x="159"/>
        <item x="304"/>
        <item x="7"/>
        <item x="186"/>
        <item x="11"/>
        <item x="1"/>
        <item x="88"/>
        <item x="260"/>
        <item x="82"/>
        <item x="174"/>
        <item x="146"/>
        <item x="50"/>
        <item x="325"/>
        <item x="64"/>
        <item x="58"/>
        <item x="80"/>
        <item x="95"/>
        <item x="94"/>
        <item x="35"/>
        <item x="194"/>
        <item x="340"/>
        <item x="295"/>
        <item x="48"/>
        <item x="103"/>
        <item x="310"/>
        <item x="209"/>
        <item x="9"/>
        <item x="307"/>
        <item x="276"/>
        <item x="192"/>
        <item x="200"/>
        <item x="176"/>
        <item x="148"/>
        <item x="336"/>
        <item x="246"/>
        <item x="175"/>
        <item x="24"/>
        <item x="335"/>
        <item x="268"/>
        <item x="300"/>
        <item x="328"/>
        <item x="271"/>
        <item x="269"/>
        <item x="81"/>
        <item x="270"/>
        <item x="344"/>
        <item x="168"/>
        <item x="130"/>
        <item x="100"/>
        <item x="197"/>
        <item x="251"/>
        <item x="106"/>
        <item x="253"/>
        <item x="279"/>
        <item x="183"/>
        <item x="67"/>
        <item x="87"/>
        <item x="177"/>
        <item x="47"/>
        <item x="181"/>
        <item x="40"/>
        <item x="232"/>
        <item x="236"/>
        <item x="179"/>
        <item x="342"/>
        <item x="18"/>
        <item x="3"/>
        <item x="93"/>
        <item x="201"/>
        <item x="208"/>
        <item x="144"/>
        <item x="31"/>
        <item x="157"/>
        <item x="233"/>
        <item x="46"/>
        <item x="259"/>
        <item x="60"/>
        <item x="132"/>
        <item x="34"/>
        <item x="39"/>
        <item x="54"/>
        <item x="98"/>
        <item x="265"/>
        <item x="311"/>
        <item x="145"/>
        <item x="84"/>
        <item x="302"/>
        <item x="108"/>
        <item x="27"/>
        <item x="125"/>
        <item x="141"/>
        <item x="62"/>
        <item x="14"/>
        <item x="333"/>
        <item x="319"/>
        <item x="38"/>
        <item x="331"/>
        <item x="207"/>
        <item x="149"/>
        <item x="122"/>
        <item x="118"/>
        <item x="203"/>
        <item x="327"/>
        <item x="71"/>
        <item x="127"/>
        <item x="51"/>
        <item x="68"/>
        <item x="173"/>
        <item x="191"/>
        <item x="343"/>
        <item x="324"/>
        <item x="25"/>
        <item x="66"/>
        <item x="286"/>
        <item x="140"/>
        <item x="147"/>
        <item x="112"/>
        <item x="72"/>
        <item x="267"/>
        <item x="193"/>
        <item x="44"/>
        <item x="318"/>
        <item x="293"/>
        <item x="99"/>
        <item x="206"/>
        <item x="101"/>
        <item x="26"/>
        <item x="323"/>
        <item x="90"/>
        <item x="33"/>
        <item x="153"/>
        <item x="213"/>
        <item x="262"/>
        <item x="188"/>
        <item x="42"/>
        <item x="117"/>
        <item x="248"/>
        <item x="285"/>
        <item x="329"/>
        <item x="294"/>
        <item x="247"/>
        <item x="202"/>
        <item x="167"/>
        <item x="224"/>
        <item x="298"/>
        <item x="17"/>
        <item x="312"/>
        <item x="199"/>
        <item x="338"/>
        <item x="83"/>
        <item x="69"/>
        <item x="126"/>
        <item x="226"/>
        <item x="10"/>
        <item x="237"/>
        <item x="121"/>
        <item x="277"/>
        <item x="230"/>
        <item x="169"/>
        <item x="171"/>
        <item x="231"/>
        <item x="229"/>
        <item x="73"/>
        <item x="131"/>
        <item x="301"/>
        <item x="273"/>
        <item x="19"/>
        <item x="13"/>
        <item x="258"/>
        <item x="116"/>
        <item x="158"/>
        <item x="205"/>
        <item x="12"/>
        <item x="219"/>
        <item x="297"/>
        <item x="156"/>
        <item x="282"/>
        <item x="105"/>
        <item x="227"/>
        <item x="228"/>
        <item x="280"/>
        <item x="184"/>
        <item x="129"/>
        <item x="170"/>
        <item x="4"/>
        <item x="299"/>
        <item x="57"/>
        <item x="245"/>
        <item x="238"/>
        <item x="20"/>
        <item x="210"/>
        <item x="8"/>
        <item x="254"/>
        <item x="296"/>
        <item x="137"/>
        <item x="22"/>
        <item x="204"/>
        <item x="28"/>
        <item x="221"/>
        <item x="185"/>
        <item x="316"/>
        <item x="234"/>
        <item x="96"/>
        <item x="217"/>
        <item x="348"/>
        <item x="15"/>
        <item x="143"/>
        <item x="264"/>
        <item x="337"/>
        <item x="166"/>
        <item x="346"/>
        <item x="138"/>
        <item x="309"/>
        <item x="49"/>
        <item x="281"/>
        <item x="317"/>
        <item x="115"/>
        <item x="255"/>
        <item x="239"/>
        <item x="85"/>
        <item x="256"/>
        <item x="110"/>
        <item x="284"/>
        <item x="223"/>
        <item x="303"/>
        <item x="52"/>
        <item x="315"/>
        <item x="214"/>
        <item x="43"/>
        <item x="252"/>
        <item x="288"/>
        <item x="107"/>
        <item x="155"/>
        <item x="250"/>
        <item x="196"/>
        <item x="36"/>
        <item x="21"/>
        <item x="97"/>
        <item x="0"/>
        <item x="133"/>
        <item x="180"/>
        <item x="314"/>
        <item x="274"/>
        <item x="198"/>
        <item x="243"/>
        <item x="30"/>
        <item x="263"/>
        <item x="124"/>
        <item x="79"/>
        <item x="334"/>
        <item x="41"/>
        <item x="65"/>
        <item x="287"/>
        <item x="2"/>
        <item x="6"/>
        <item x="76"/>
        <item x="161"/>
        <item x="332"/>
        <item x="326"/>
        <item x="283"/>
        <item x="321"/>
        <item x="154"/>
        <item x="91"/>
        <item x="308"/>
        <item x="330"/>
        <item x="102"/>
        <item x="272"/>
        <item x="341"/>
        <item x="241"/>
        <item x="322"/>
        <item x="92"/>
        <item x="70"/>
        <item x="189"/>
        <item x="61"/>
        <item x="128"/>
        <item x="345"/>
        <item x="347"/>
        <item x="212"/>
        <item x="123"/>
        <item x="89"/>
        <item x="45"/>
        <item x="320"/>
        <item x="235"/>
        <item x="114"/>
        <item x="119"/>
        <item x="289"/>
        <item x="136"/>
        <item x="182"/>
        <item x="220"/>
        <item x="120"/>
        <item x="164"/>
        <item x="278"/>
        <item x="16"/>
        <item x="74"/>
        <item x="56"/>
        <item x="190"/>
        <item x="150"/>
        <item x="162"/>
        <item x="165"/>
        <item x="240"/>
        <item x="244"/>
        <item x="32"/>
        <item x="104"/>
        <item x="151"/>
        <item x="152"/>
        <item x="313"/>
        <item x="225"/>
        <item x="134"/>
        <item x="257"/>
        <item x="172"/>
        <item x="59"/>
        <item t="default"/>
      </items>
    </pivotField>
    <pivotField showAll="0"/>
    <pivotField showAll="0">
      <items count="6">
        <item x="2"/>
        <item x="0"/>
        <item x="3"/>
        <item x="4"/>
        <item x="1"/>
        <item t="default"/>
      </items>
    </pivotField>
    <pivotField showAll="0">
      <items count="7">
        <item x="1"/>
        <item x="3"/>
        <item x="5"/>
        <item x="0"/>
        <item x="4"/>
        <item x="2"/>
        <item t="default"/>
      </items>
    </pivotField>
    <pivotField showAll="0">
      <items count="5">
        <item x="0"/>
        <item x="1"/>
        <item x="2"/>
        <item x="3"/>
        <item t="default"/>
      </items>
    </pivotField>
    <pivotField showAll="0"/>
    <pivotField showAll="0"/>
    <pivotField numFmtId="165" showAll="0"/>
    <pivotField showAll="0"/>
    <pivotField dataField="1" numFmtId="165" showAll="0">
      <items count="168">
        <item x="84"/>
        <item x="78"/>
        <item x="34"/>
        <item x="136"/>
        <item x="18"/>
        <item x="30"/>
        <item x="158"/>
        <item x="86"/>
        <item x="63"/>
        <item x="102"/>
        <item x="152"/>
        <item x="109"/>
        <item x="47"/>
        <item x="131"/>
        <item x="55"/>
        <item x="159"/>
        <item x="141"/>
        <item x="81"/>
        <item x="45"/>
        <item x="80"/>
        <item x="60"/>
        <item x="46"/>
        <item x="117"/>
        <item x="62"/>
        <item x="69"/>
        <item x="9"/>
        <item x="4"/>
        <item x="17"/>
        <item x="135"/>
        <item x="49"/>
        <item x="85"/>
        <item x="76"/>
        <item x="65"/>
        <item x="146"/>
        <item x="123"/>
        <item x="70"/>
        <item x="129"/>
        <item x="29"/>
        <item x="148"/>
        <item x="74"/>
        <item x="166"/>
        <item x="2"/>
        <item x="150"/>
        <item x="96"/>
        <item x="120"/>
        <item x="92"/>
        <item x="130"/>
        <item x="105"/>
        <item x="41"/>
        <item x="64"/>
        <item x="36"/>
        <item x="21"/>
        <item x="147"/>
        <item x="61"/>
        <item x="33"/>
        <item x="90"/>
        <item x="53"/>
        <item x="112"/>
        <item x="110"/>
        <item x="52"/>
        <item x="3"/>
        <item x="106"/>
        <item x="7"/>
        <item x="155"/>
        <item x="118"/>
        <item x="14"/>
        <item x="35"/>
        <item x="27"/>
        <item x="100"/>
        <item x="75"/>
        <item x="25"/>
        <item x="51"/>
        <item x="144"/>
        <item x="1"/>
        <item x="124"/>
        <item x="79"/>
        <item x="0"/>
        <item x="12"/>
        <item x="19"/>
        <item x="132"/>
        <item x="83"/>
        <item x="43"/>
        <item x="91"/>
        <item x="107"/>
        <item x="103"/>
        <item x="8"/>
        <item x="38"/>
        <item x="59"/>
        <item x="142"/>
        <item x="153"/>
        <item x="50"/>
        <item x="82"/>
        <item x="89"/>
        <item x="87"/>
        <item x="143"/>
        <item x="77"/>
        <item x="133"/>
        <item x="5"/>
        <item x="58"/>
        <item x="48"/>
        <item x="88"/>
        <item x="145"/>
        <item x="114"/>
        <item x="128"/>
        <item x="137"/>
        <item x="122"/>
        <item x="101"/>
        <item x="94"/>
        <item x="66"/>
        <item x="67"/>
        <item x="98"/>
        <item x="6"/>
        <item x="23"/>
        <item x="99"/>
        <item x="20"/>
        <item x="16"/>
        <item x="139"/>
        <item x="151"/>
        <item x="44"/>
        <item x="31"/>
        <item x="156"/>
        <item x="22"/>
        <item x="111"/>
        <item x="121"/>
        <item x="13"/>
        <item x="116"/>
        <item x="32"/>
        <item x="138"/>
        <item x="11"/>
        <item x="42"/>
        <item x="68"/>
        <item x="15"/>
        <item x="54"/>
        <item x="95"/>
        <item x="28"/>
        <item x="24"/>
        <item x="126"/>
        <item x="115"/>
        <item x="93"/>
        <item x="39"/>
        <item x="37"/>
        <item x="71"/>
        <item x="57"/>
        <item x="97"/>
        <item x="160"/>
        <item x="164"/>
        <item x="10"/>
        <item x="104"/>
        <item x="26"/>
        <item x="125"/>
        <item x="113"/>
        <item x="162"/>
        <item x="119"/>
        <item x="161"/>
        <item x="154"/>
        <item x="73"/>
        <item x="72"/>
        <item x="56"/>
        <item x="140"/>
        <item x="134"/>
        <item x="40"/>
        <item x="163"/>
        <item x="127"/>
        <item x="108"/>
        <item x="157"/>
        <item x="165"/>
        <item x="149"/>
        <item t="default"/>
      </items>
    </pivotField>
    <pivotField numFmtId="165" showAll="0"/>
    <pivotField numFmtId="165" showAll="0"/>
    <pivotField numFmtId="10"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5"/>
    <field x="14"/>
  </rowFields>
  <rowItems count="14">
    <i>
      <x v="1"/>
    </i>
    <i r="1">
      <x v="1"/>
    </i>
    <i r="1">
      <x v="2"/>
    </i>
    <i r="1">
      <x v="3"/>
    </i>
    <i r="1">
      <x v="4"/>
    </i>
    <i r="1">
      <x v="5"/>
    </i>
    <i r="1">
      <x v="6"/>
    </i>
    <i r="1">
      <x v="7"/>
    </i>
    <i r="1">
      <x v="8"/>
    </i>
    <i r="1">
      <x v="9"/>
    </i>
    <i r="1">
      <x v="10"/>
    </i>
    <i r="1">
      <x v="11"/>
    </i>
    <i r="1">
      <x v="12"/>
    </i>
    <i t="grand">
      <x/>
    </i>
  </rowItems>
  <colItems count="1">
    <i/>
  </colItems>
  <dataFields count="1">
    <dataField name="Sum of Revenue" fld="10" baseField="0" baseItem="0" numFmtId="165"/>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9321F1-F37A-4538-A29C-05010E50F7B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6">
    <pivotField showAll="0"/>
    <pivotField numFmtId="164" showAll="0">
      <items count="350">
        <item x="178"/>
        <item x="222"/>
        <item x="242"/>
        <item x="291"/>
        <item x="5"/>
        <item x="37"/>
        <item x="261"/>
        <item x="266"/>
        <item x="249"/>
        <item x="113"/>
        <item x="135"/>
        <item x="306"/>
        <item x="218"/>
        <item x="216"/>
        <item x="55"/>
        <item x="29"/>
        <item x="211"/>
        <item x="139"/>
        <item x="290"/>
        <item x="77"/>
        <item x="111"/>
        <item x="75"/>
        <item x="78"/>
        <item x="339"/>
        <item x="163"/>
        <item x="187"/>
        <item x="142"/>
        <item x="292"/>
        <item x="305"/>
        <item x="86"/>
        <item x="160"/>
        <item x="53"/>
        <item x="63"/>
        <item x="275"/>
        <item x="215"/>
        <item x="23"/>
        <item x="195"/>
        <item x="109"/>
        <item x="159"/>
        <item x="304"/>
        <item x="7"/>
        <item x="186"/>
        <item x="11"/>
        <item x="1"/>
        <item x="88"/>
        <item x="260"/>
        <item x="82"/>
        <item x="174"/>
        <item x="146"/>
        <item x="50"/>
        <item x="325"/>
        <item x="64"/>
        <item x="58"/>
        <item x="80"/>
        <item x="95"/>
        <item x="94"/>
        <item x="35"/>
        <item x="194"/>
        <item x="340"/>
        <item x="295"/>
        <item x="48"/>
        <item x="103"/>
        <item x="310"/>
        <item x="209"/>
        <item x="9"/>
        <item x="307"/>
        <item x="276"/>
        <item x="192"/>
        <item x="200"/>
        <item x="176"/>
        <item x="148"/>
        <item x="336"/>
        <item x="246"/>
        <item x="175"/>
        <item x="24"/>
        <item x="335"/>
        <item x="268"/>
        <item x="300"/>
        <item x="328"/>
        <item x="271"/>
        <item x="269"/>
        <item x="81"/>
        <item x="270"/>
        <item x="344"/>
        <item x="168"/>
        <item x="130"/>
        <item x="100"/>
        <item x="197"/>
        <item x="251"/>
        <item x="106"/>
        <item x="253"/>
        <item x="279"/>
        <item x="183"/>
        <item x="67"/>
        <item x="87"/>
        <item x="177"/>
        <item x="47"/>
        <item x="181"/>
        <item x="40"/>
        <item x="232"/>
        <item x="236"/>
        <item x="179"/>
        <item x="342"/>
        <item x="18"/>
        <item x="3"/>
        <item x="93"/>
        <item x="201"/>
        <item x="208"/>
        <item x="144"/>
        <item x="31"/>
        <item x="157"/>
        <item x="233"/>
        <item x="46"/>
        <item x="259"/>
        <item x="60"/>
        <item x="132"/>
        <item x="34"/>
        <item x="39"/>
        <item x="54"/>
        <item x="98"/>
        <item x="265"/>
        <item x="311"/>
        <item x="145"/>
        <item x="84"/>
        <item x="302"/>
        <item x="108"/>
        <item x="27"/>
        <item x="125"/>
        <item x="141"/>
        <item x="62"/>
        <item x="14"/>
        <item x="333"/>
        <item x="319"/>
        <item x="38"/>
        <item x="331"/>
        <item x="207"/>
        <item x="149"/>
        <item x="122"/>
        <item x="118"/>
        <item x="203"/>
        <item x="327"/>
        <item x="71"/>
        <item x="127"/>
        <item x="51"/>
        <item x="68"/>
        <item x="173"/>
        <item x="191"/>
        <item x="343"/>
        <item x="324"/>
        <item x="25"/>
        <item x="66"/>
        <item x="286"/>
        <item x="140"/>
        <item x="147"/>
        <item x="112"/>
        <item x="72"/>
        <item x="267"/>
        <item x="193"/>
        <item x="44"/>
        <item x="318"/>
        <item x="293"/>
        <item x="99"/>
        <item x="206"/>
        <item x="101"/>
        <item x="26"/>
        <item x="323"/>
        <item x="90"/>
        <item x="33"/>
        <item x="153"/>
        <item x="213"/>
        <item x="262"/>
        <item x="188"/>
        <item x="42"/>
        <item x="117"/>
        <item x="248"/>
        <item x="285"/>
        <item x="329"/>
        <item x="294"/>
        <item x="247"/>
        <item x="202"/>
        <item x="167"/>
        <item x="224"/>
        <item x="298"/>
        <item x="17"/>
        <item x="312"/>
        <item x="199"/>
        <item x="338"/>
        <item x="83"/>
        <item x="69"/>
        <item x="126"/>
        <item x="226"/>
        <item x="10"/>
        <item x="237"/>
        <item x="121"/>
        <item x="277"/>
        <item x="230"/>
        <item x="169"/>
        <item x="171"/>
        <item x="231"/>
        <item x="229"/>
        <item x="73"/>
        <item x="131"/>
        <item x="301"/>
        <item x="273"/>
        <item x="19"/>
        <item x="13"/>
        <item x="258"/>
        <item x="116"/>
        <item x="158"/>
        <item x="205"/>
        <item x="12"/>
        <item x="219"/>
        <item x="297"/>
        <item x="156"/>
        <item x="282"/>
        <item x="105"/>
        <item x="227"/>
        <item x="228"/>
        <item x="280"/>
        <item x="184"/>
        <item x="129"/>
        <item x="170"/>
        <item x="4"/>
        <item x="299"/>
        <item x="57"/>
        <item x="245"/>
        <item x="238"/>
        <item x="20"/>
        <item x="210"/>
        <item x="8"/>
        <item x="254"/>
        <item x="296"/>
        <item x="137"/>
        <item x="22"/>
        <item x="204"/>
        <item x="28"/>
        <item x="221"/>
        <item x="185"/>
        <item x="316"/>
        <item x="234"/>
        <item x="96"/>
        <item x="217"/>
        <item x="348"/>
        <item x="15"/>
        <item x="143"/>
        <item x="264"/>
        <item x="337"/>
        <item x="166"/>
        <item x="346"/>
        <item x="138"/>
        <item x="309"/>
        <item x="49"/>
        <item x="281"/>
        <item x="317"/>
        <item x="115"/>
        <item x="255"/>
        <item x="239"/>
        <item x="85"/>
        <item x="256"/>
        <item x="110"/>
        <item x="284"/>
        <item x="223"/>
        <item x="303"/>
        <item x="52"/>
        <item x="315"/>
        <item x="214"/>
        <item x="43"/>
        <item x="252"/>
        <item x="288"/>
        <item x="107"/>
        <item x="155"/>
        <item x="250"/>
        <item x="196"/>
        <item x="36"/>
        <item x="21"/>
        <item x="97"/>
        <item x="0"/>
        <item x="133"/>
        <item x="180"/>
        <item x="314"/>
        <item x="274"/>
        <item x="198"/>
        <item x="243"/>
        <item x="30"/>
        <item x="263"/>
        <item x="124"/>
        <item x="79"/>
        <item x="334"/>
        <item x="41"/>
        <item x="65"/>
        <item x="287"/>
        <item x="2"/>
        <item x="6"/>
        <item x="76"/>
        <item x="161"/>
        <item x="332"/>
        <item x="326"/>
        <item x="283"/>
        <item x="321"/>
        <item x="154"/>
        <item x="91"/>
        <item x="308"/>
        <item x="330"/>
        <item x="102"/>
        <item x="272"/>
        <item x="341"/>
        <item x="241"/>
        <item x="322"/>
        <item x="92"/>
        <item x="70"/>
        <item x="189"/>
        <item x="61"/>
        <item x="128"/>
        <item x="345"/>
        <item x="347"/>
        <item x="212"/>
        <item x="123"/>
        <item x="89"/>
        <item x="45"/>
        <item x="320"/>
        <item x="235"/>
        <item x="114"/>
        <item x="119"/>
        <item x="289"/>
        <item x="136"/>
        <item x="182"/>
        <item x="220"/>
        <item x="120"/>
        <item x="164"/>
        <item x="278"/>
        <item x="16"/>
        <item x="74"/>
        <item x="56"/>
        <item x="190"/>
        <item x="150"/>
        <item x="162"/>
        <item x="165"/>
        <item x="240"/>
        <item x="244"/>
        <item x="32"/>
        <item x="104"/>
        <item x="151"/>
        <item x="152"/>
        <item x="313"/>
        <item x="225"/>
        <item x="134"/>
        <item x="257"/>
        <item x="172"/>
        <item x="59"/>
        <item t="default"/>
      </items>
    </pivotField>
    <pivotField showAll="0"/>
    <pivotField axis="axisRow" showAll="0">
      <items count="6">
        <item x="2"/>
        <item x="0"/>
        <item x="3"/>
        <item x="4"/>
        <item x="1"/>
        <item t="default"/>
      </items>
    </pivotField>
    <pivotField showAll="0"/>
    <pivotField showAll="0"/>
    <pivotField showAll="0"/>
    <pivotField showAll="0"/>
    <pivotField numFmtId="165" showAll="0"/>
    <pivotField showAll="0"/>
    <pivotField numFmtId="165" showAll="0"/>
    <pivotField numFmtId="165" showAll="0"/>
    <pivotField dataField="1" numFmtId="165" showAll="0"/>
    <pivotField numFmtId="10" showAll="0"/>
    <pivotField showAll="0" defaultSubtotal="0"/>
    <pivotField showAll="0" defaultSubtotal="0">
      <items count="4">
        <item x="0"/>
        <item x="1"/>
        <item x="2"/>
        <item x="3"/>
      </items>
    </pivotField>
  </pivotFields>
  <rowFields count="1">
    <field x="3"/>
  </rowFields>
  <rowItems count="6">
    <i>
      <x/>
    </i>
    <i>
      <x v="1"/>
    </i>
    <i>
      <x v="2"/>
    </i>
    <i>
      <x v="3"/>
    </i>
    <i>
      <x v="4"/>
    </i>
    <i t="grand">
      <x/>
    </i>
  </rowItems>
  <colItems count="1">
    <i/>
  </colItems>
  <dataFields count="1">
    <dataField name="Sum of Profit" fld="12" baseField="0" baseItem="0" numFmtId="165"/>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C4AD5A-F7B0-43BC-A09B-843BE881A64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6">
    <pivotField showAll="0"/>
    <pivotField numFmtId="164" showAll="0">
      <items count="350">
        <item x="178"/>
        <item x="222"/>
        <item x="242"/>
        <item x="291"/>
        <item x="5"/>
        <item x="37"/>
        <item x="261"/>
        <item x="266"/>
        <item x="249"/>
        <item x="113"/>
        <item x="135"/>
        <item x="306"/>
        <item x="218"/>
        <item x="216"/>
        <item x="55"/>
        <item x="29"/>
        <item x="211"/>
        <item x="139"/>
        <item x="290"/>
        <item x="77"/>
        <item x="111"/>
        <item x="75"/>
        <item x="78"/>
        <item x="339"/>
        <item x="163"/>
        <item x="187"/>
        <item x="142"/>
        <item x="292"/>
        <item x="305"/>
        <item x="86"/>
        <item x="160"/>
        <item x="53"/>
        <item x="63"/>
        <item x="275"/>
        <item x="215"/>
        <item x="23"/>
        <item x="195"/>
        <item x="109"/>
        <item x="159"/>
        <item x="304"/>
        <item x="7"/>
        <item x="186"/>
        <item x="11"/>
        <item x="1"/>
        <item x="88"/>
        <item x="260"/>
        <item x="82"/>
        <item x="174"/>
        <item x="146"/>
        <item x="50"/>
        <item x="325"/>
        <item x="64"/>
        <item x="58"/>
        <item x="80"/>
        <item x="95"/>
        <item x="94"/>
        <item x="35"/>
        <item x="194"/>
        <item x="340"/>
        <item x="295"/>
        <item x="48"/>
        <item x="103"/>
        <item x="310"/>
        <item x="209"/>
        <item x="9"/>
        <item x="307"/>
        <item x="276"/>
        <item x="192"/>
        <item x="200"/>
        <item x="176"/>
        <item x="148"/>
        <item x="336"/>
        <item x="246"/>
        <item x="175"/>
        <item x="24"/>
        <item x="335"/>
        <item x="268"/>
        <item x="300"/>
        <item x="328"/>
        <item x="271"/>
        <item x="269"/>
        <item x="81"/>
        <item x="270"/>
        <item x="344"/>
        <item x="168"/>
        <item x="130"/>
        <item x="100"/>
        <item x="197"/>
        <item x="251"/>
        <item x="106"/>
        <item x="253"/>
        <item x="279"/>
        <item x="183"/>
        <item x="67"/>
        <item x="87"/>
        <item x="177"/>
        <item x="47"/>
        <item x="181"/>
        <item x="40"/>
        <item x="232"/>
        <item x="236"/>
        <item x="179"/>
        <item x="342"/>
        <item x="18"/>
        <item x="3"/>
        <item x="93"/>
        <item x="201"/>
        <item x="208"/>
        <item x="144"/>
        <item x="31"/>
        <item x="157"/>
        <item x="233"/>
        <item x="46"/>
        <item x="259"/>
        <item x="60"/>
        <item x="132"/>
        <item x="34"/>
        <item x="39"/>
        <item x="54"/>
        <item x="98"/>
        <item x="265"/>
        <item x="311"/>
        <item x="145"/>
        <item x="84"/>
        <item x="302"/>
        <item x="108"/>
        <item x="27"/>
        <item x="125"/>
        <item x="141"/>
        <item x="62"/>
        <item x="14"/>
        <item x="333"/>
        <item x="319"/>
        <item x="38"/>
        <item x="331"/>
        <item x="207"/>
        <item x="149"/>
        <item x="122"/>
        <item x="118"/>
        <item x="203"/>
        <item x="327"/>
        <item x="71"/>
        <item x="127"/>
        <item x="51"/>
        <item x="68"/>
        <item x="173"/>
        <item x="191"/>
        <item x="343"/>
        <item x="324"/>
        <item x="25"/>
        <item x="66"/>
        <item x="286"/>
        <item x="140"/>
        <item x="147"/>
        <item x="112"/>
        <item x="72"/>
        <item x="267"/>
        <item x="193"/>
        <item x="44"/>
        <item x="318"/>
        <item x="293"/>
        <item x="99"/>
        <item x="206"/>
        <item x="101"/>
        <item x="26"/>
        <item x="323"/>
        <item x="90"/>
        <item x="33"/>
        <item x="153"/>
        <item x="213"/>
        <item x="262"/>
        <item x="188"/>
        <item x="42"/>
        <item x="117"/>
        <item x="248"/>
        <item x="285"/>
        <item x="329"/>
        <item x="294"/>
        <item x="247"/>
        <item x="202"/>
        <item x="167"/>
        <item x="224"/>
        <item x="298"/>
        <item x="17"/>
        <item x="312"/>
        <item x="199"/>
        <item x="338"/>
        <item x="83"/>
        <item x="69"/>
        <item x="126"/>
        <item x="226"/>
        <item x="10"/>
        <item x="237"/>
        <item x="121"/>
        <item x="277"/>
        <item x="230"/>
        <item x="169"/>
        <item x="171"/>
        <item x="231"/>
        <item x="229"/>
        <item x="73"/>
        <item x="131"/>
        <item x="301"/>
        <item x="273"/>
        <item x="19"/>
        <item x="13"/>
        <item x="258"/>
        <item x="116"/>
        <item x="158"/>
        <item x="205"/>
        <item x="12"/>
        <item x="219"/>
        <item x="297"/>
        <item x="156"/>
        <item x="282"/>
        <item x="105"/>
        <item x="227"/>
        <item x="228"/>
        <item x="280"/>
        <item x="184"/>
        <item x="129"/>
        <item x="170"/>
        <item x="4"/>
        <item x="299"/>
        <item x="57"/>
        <item x="245"/>
        <item x="238"/>
        <item x="20"/>
        <item x="210"/>
        <item x="8"/>
        <item x="254"/>
        <item x="296"/>
        <item x="137"/>
        <item x="22"/>
        <item x="204"/>
        <item x="28"/>
        <item x="221"/>
        <item x="185"/>
        <item x="316"/>
        <item x="234"/>
        <item x="96"/>
        <item x="217"/>
        <item x="348"/>
        <item x="15"/>
        <item x="143"/>
        <item x="264"/>
        <item x="337"/>
        <item x="166"/>
        <item x="346"/>
        <item x="138"/>
        <item x="309"/>
        <item x="49"/>
        <item x="281"/>
        <item x="317"/>
        <item x="115"/>
        <item x="255"/>
        <item x="239"/>
        <item x="85"/>
        <item x="256"/>
        <item x="110"/>
        <item x="284"/>
        <item x="223"/>
        <item x="303"/>
        <item x="52"/>
        <item x="315"/>
        <item x="214"/>
        <item x="43"/>
        <item x="252"/>
        <item x="288"/>
        <item x="107"/>
        <item x="155"/>
        <item x="250"/>
        <item x="196"/>
        <item x="36"/>
        <item x="21"/>
        <item x="97"/>
        <item x="0"/>
        <item x="133"/>
        <item x="180"/>
        <item x="314"/>
        <item x="274"/>
        <item x="198"/>
        <item x="243"/>
        <item x="30"/>
        <item x="263"/>
        <item x="124"/>
        <item x="79"/>
        <item x="334"/>
        <item x="41"/>
        <item x="65"/>
        <item x="287"/>
        <item x="2"/>
        <item x="6"/>
        <item x="76"/>
        <item x="161"/>
        <item x="332"/>
        <item x="326"/>
        <item x="283"/>
        <item x="321"/>
        <item x="154"/>
        <item x="91"/>
        <item x="308"/>
        <item x="330"/>
        <item x="102"/>
        <item x="272"/>
        <item x="341"/>
        <item x="241"/>
        <item x="322"/>
        <item x="92"/>
        <item x="70"/>
        <item x="189"/>
        <item x="61"/>
        <item x="128"/>
        <item x="345"/>
        <item x="347"/>
        <item x="212"/>
        <item x="123"/>
        <item x="89"/>
        <item x="45"/>
        <item x="320"/>
        <item x="235"/>
        <item x="114"/>
        <item x="119"/>
        <item x="289"/>
        <item x="136"/>
        <item x="182"/>
        <item x="220"/>
        <item x="120"/>
        <item x="164"/>
        <item x="278"/>
        <item x="16"/>
        <item x="74"/>
        <item x="56"/>
        <item x="190"/>
        <item x="150"/>
        <item x="162"/>
        <item x="165"/>
        <item x="240"/>
        <item x="244"/>
        <item x="32"/>
        <item x="104"/>
        <item x="151"/>
        <item x="152"/>
        <item x="313"/>
        <item x="225"/>
        <item x="134"/>
        <item x="257"/>
        <item x="172"/>
        <item x="59"/>
        <item t="default"/>
      </items>
    </pivotField>
    <pivotField showAll="0"/>
    <pivotField showAll="0">
      <items count="6">
        <item x="2"/>
        <item x="0"/>
        <item x="3"/>
        <item x="4"/>
        <item x="1"/>
        <item t="default"/>
      </items>
    </pivotField>
    <pivotField showAll="0"/>
    <pivotField axis="axisRow" showAll="0">
      <items count="5">
        <item x="0"/>
        <item x="1"/>
        <item x="2"/>
        <item x="3"/>
        <item t="default"/>
      </items>
    </pivotField>
    <pivotField showAll="0"/>
    <pivotField showAll="0"/>
    <pivotField numFmtId="165" showAll="0"/>
    <pivotField showAll="0"/>
    <pivotField dataField="1" numFmtId="165" showAll="0"/>
    <pivotField numFmtId="165" showAll="0"/>
    <pivotField numFmtId="165" showAll="0"/>
    <pivotField numFmtId="10" showAll="0"/>
    <pivotField showAll="0" defaultSubtotal="0"/>
    <pivotField showAll="0" defaultSubtotal="0">
      <items count="4">
        <item x="0"/>
        <item x="1"/>
        <item x="2"/>
        <item x="3"/>
      </items>
    </pivotField>
  </pivotFields>
  <rowFields count="1">
    <field x="5"/>
  </rowFields>
  <rowItems count="5">
    <i>
      <x/>
    </i>
    <i>
      <x v="1"/>
    </i>
    <i>
      <x v="2"/>
    </i>
    <i>
      <x v="3"/>
    </i>
    <i t="grand">
      <x/>
    </i>
  </rowItems>
  <colItems count="1">
    <i/>
  </colItems>
  <dataFields count="1">
    <dataField name="Sum of Revenue" fld="10" baseField="0" baseItem="0" numFmtId="165"/>
  </dataFields>
  <chartFormats count="10">
    <chartFormat chart="2"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6" format="8">
      <pivotArea type="data" outline="0" fieldPosition="0">
        <references count="2">
          <reference field="4294967294" count="1" selected="0">
            <x v="0"/>
          </reference>
          <reference field="5" count="1" selected="0">
            <x v="1"/>
          </reference>
        </references>
      </pivotArea>
    </chartFormat>
    <chartFormat chart="6" format="9">
      <pivotArea type="data" outline="0" fieldPosition="0">
        <references count="2">
          <reference field="4294967294" count="1" selected="0">
            <x v="0"/>
          </reference>
          <reference field="5" count="1" selected="0">
            <x v="2"/>
          </reference>
        </references>
      </pivotArea>
    </chartFormat>
    <chartFormat chart="6" format="10">
      <pivotArea type="data" outline="0" fieldPosition="0">
        <references count="2">
          <reference field="4294967294" count="1" selected="0">
            <x v="0"/>
          </reference>
          <reference field="5" count="1" selected="0">
            <x v="3"/>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2"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0EF0CF-EBBF-4078-A29C-3D864A3C10B8}" sourceName="Region">
  <pivotTables>
    <pivotTable tabId="2" name="PivotTable1"/>
    <pivotTable tabId="3" name="PivotTable2"/>
    <pivotTable tabId="7" name="PivotTable5"/>
    <pivotTable tabId="4" name="PivotTable3"/>
    <pivotTable tabId="5" name="PivotTable4"/>
  </pivotTables>
  <data>
    <tabular pivotCacheId="330908198">
      <items count="5">
        <i x="2" s="1"/>
        <i x="0" s="1"/>
        <i x="3"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50B926A-270A-454B-B632-1CFB5C12AA9B}" sourceName="Salesperson">
  <pivotTables>
    <pivotTable tabId="2" name="PivotTable1"/>
  </pivotTables>
  <data>
    <tabular pivotCacheId="330908198">
      <items count="6">
        <i x="1" s="1"/>
        <i x="3" s="1"/>
        <i x="5"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CC1F0A0-3D7E-4DD5-83BD-684C5C6EDF77}" sourceName="Category">
  <pivotTables>
    <pivotTable tabId="2" name="PivotTable1"/>
  </pivotTables>
  <data>
    <tabular pivotCacheId="33090819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59EBA0B-EF28-4374-A452-F0CF7530BB42}" cache="Slicer_Region" caption="Region" style="SlicerStyleDark5" rowHeight="234950"/>
  <slicer name="Salesperson 1" xr10:uid="{CEAD29E0-1816-4117-B9EB-15D402025783}" cache="Slicer_Salesperson" caption="Salesperson" style="SlicerStyleDark5" rowHeight="234950"/>
  <slicer name="Category 1" xr10:uid="{7CC9B7B4-E088-4FDD-9EAC-9700A2D06361}" cache="Slicer_Category" caption="Category"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90D6EAF-7A92-4E6D-9DD6-FB4A6960AF6E}" cache="Slicer_Region" caption="Region" rowHeight="234950"/>
  <slicer name="Salesperson" xr10:uid="{518C58FA-3675-4392-8731-E81D9D330F0E}" cache="Slicer_Salesperson" caption="Salesperson" rowHeight="234950"/>
  <slicer name="Category" xr10:uid="{9422A52B-A76C-4EF1-8F5E-73F3932B535E}"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99D372-F3C8-48E7-802A-D3A20D5D4CC3}" name="Table1" displayName="Table1" ref="A1:N1001" totalsRowShown="0">
  <autoFilter ref="A1:N1001" xr:uid="{0999D372-F3C8-48E7-802A-D3A20D5D4CC3}"/>
  <tableColumns count="14">
    <tableColumn id="1" xr3:uid="{366871CF-CFFE-4D59-BF9F-20F78DCA0717}" name="Order ID"/>
    <tableColumn id="2" xr3:uid="{EFD77EB3-B5A5-42C1-84C6-A6FA359DEFE0}" name="Order Date" dataDxfId="6"/>
    <tableColumn id="3" xr3:uid="{8ACDEEA8-9449-4A39-A727-9F9D51AD0130}" name="Customer Name"/>
    <tableColumn id="4" xr3:uid="{B2B07174-369C-481E-986A-145AD3B27494}" name="Region"/>
    <tableColumn id="5" xr3:uid="{8511F879-B39B-43C9-A7DF-CB4AA28E8BB6}" name="Salesperson"/>
    <tableColumn id="6" xr3:uid="{2D48E53F-1F9D-4669-AD64-8FB47342EECC}" name="Category"/>
    <tableColumn id="7" xr3:uid="{455B7FFA-2962-4A1D-B77B-DB57C61BD7E9}" name="Product"/>
    <tableColumn id="8" xr3:uid="{A63F3203-3AF8-4BFE-930F-41DA7ADC9BB1}" name="Quantity"/>
    <tableColumn id="9" xr3:uid="{F1C3536B-45D9-48F4-ABDF-3ECE2141E090}" name="Cost Price" dataDxfId="5"/>
    <tableColumn id="10" xr3:uid="{D2388DFA-E3FC-4454-A8F6-8E22B3884CC5}" name="Selling Price" dataDxfId="4"/>
    <tableColumn id="11" xr3:uid="{AF0BFE2E-F6F0-4CEF-AA84-A30E75A08B4A}" name="Revenue" dataDxfId="3"/>
    <tableColumn id="12" xr3:uid="{1087E34F-33D5-4085-89E3-37BFDBD4C273}" name="Cost" dataDxfId="2"/>
    <tableColumn id="13" xr3:uid="{F1170A72-C951-44AF-B2CE-FCC219A67BDA}" name="Profit" dataDxfId="1"/>
    <tableColumn id="14" xr3:uid="{B7B3072F-BFFF-4F3A-8366-9F5A96434C62}" name="Profit %" dataDxfId="0" dataCellStyle="Perc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F0C3D-C849-43C7-89E4-DE899C1218D8}">
  <dimension ref="A3:B14"/>
  <sheetViews>
    <sheetView workbookViewId="0">
      <selection activeCell="F27" sqref="F27"/>
    </sheetView>
  </sheetViews>
  <sheetFormatPr defaultRowHeight="14.4" x14ac:dyDescent="0.3"/>
  <cols>
    <col min="1" max="1" width="12.5546875" bestFit="1" customWidth="1"/>
    <col min="2" max="2" width="15.77734375" bestFit="1" customWidth="1"/>
  </cols>
  <sheetData>
    <row r="3" spans="1:2" x14ac:dyDescent="0.3">
      <c r="A3" s="6" t="s">
        <v>1189</v>
      </c>
      <c r="B3" t="s">
        <v>1203</v>
      </c>
    </row>
    <row r="4" spans="1:2" x14ac:dyDescent="0.3">
      <c r="A4" s="7" t="s">
        <v>63</v>
      </c>
      <c r="B4" s="3">
        <v>46420000</v>
      </c>
    </row>
    <row r="5" spans="1:2" x14ac:dyDescent="0.3">
      <c r="A5" s="7" t="s">
        <v>29</v>
      </c>
      <c r="B5" s="3">
        <v>20179500</v>
      </c>
    </row>
    <row r="6" spans="1:2" x14ac:dyDescent="0.3">
      <c r="A6" s="7" t="s">
        <v>25</v>
      </c>
      <c r="B6" s="3">
        <v>15405000</v>
      </c>
    </row>
    <row r="7" spans="1:2" x14ac:dyDescent="0.3">
      <c r="A7" s="7" t="s">
        <v>42</v>
      </c>
      <c r="B7" s="3">
        <v>13908000</v>
      </c>
    </row>
    <row r="8" spans="1:2" x14ac:dyDescent="0.3">
      <c r="A8" s="7" t="s">
        <v>48</v>
      </c>
      <c r="B8" s="3">
        <v>4359600</v>
      </c>
    </row>
    <row r="9" spans="1:2" x14ac:dyDescent="0.3">
      <c r="A9" s="7" t="s">
        <v>76</v>
      </c>
      <c r="B9" s="3">
        <v>4014000</v>
      </c>
    </row>
    <row r="10" spans="1:2" x14ac:dyDescent="0.3">
      <c r="A10" s="7" t="s">
        <v>19</v>
      </c>
      <c r="B10" s="3">
        <v>3161600</v>
      </c>
    </row>
    <row r="11" spans="1:2" x14ac:dyDescent="0.3">
      <c r="A11" s="7" t="s">
        <v>60</v>
      </c>
      <c r="B11" s="3">
        <v>2752400</v>
      </c>
    </row>
    <row r="12" spans="1:2" x14ac:dyDescent="0.3">
      <c r="A12" s="7" t="s">
        <v>72</v>
      </c>
      <c r="B12" s="3">
        <v>1504500</v>
      </c>
    </row>
    <row r="13" spans="1:2" x14ac:dyDescent="0.3">
      <c r="A13" s="7" t="s">
        <v>37</v>
      </c>
      <c r="B13" s="3">
        <v>778050</v>
      </c>
    </row>
    <row r="14" spans="1:2" x14ac:dyDescent="0.3">
      <c r="A14" s="7" t="s">
        <v>1190</v>
      </c>
      <c r="B14" s="3">
        <v>112482650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38410-E2E9-4279-BF32-952A853B4F5C}">
  <dimension ref="A3:B10"/>
  <sheetViews>
    <sheetView workbookViewId="0">
      <selection activeCell="A4" sqref="A4"/>
    </sheetView>
  </sheetViews>
  <sheetFormatPr defaultRowHeight="14.4" x14ac:dyDescent="0.3"/>
  <cols>
    <col min="1" max="1" width="12.5546875" bestFit="1" customWidth="1"/>
    <col min="2" max="2" width="15.77734375" bestFit="1" customWidth="1"/>
  </cols>
  <sheetData>
    <row r="3" spans="1:2" x14ac:dyDescent="0.3">
      <c r="A3" s="6" t="s">
        <v>1189</v>
      </c>
      <c r="B3" t="s">
        <v>1203</v>
      </c>
    </row>
    <row r="4" spans="1:2" x14ac:dyDescent="0.3">
      <c r="A4" s="7" t="s">
        <v>23</v>
      </c>
      <c r="B4" s="3">
        <v>16611100</v>
      </c>
    </row>
    <row r="5" spans="1:2" x14ac:dyDescent="0.3">
      <c r="A5" s="7" t="s">
        <v>32</v>
      </c>
      <c r="B5" s="3">
        <v>18679600</v>
      </c>
    </row>
    <row r="6" spans="1:2" x14ac:dyDescent="0.3">
      <c r="A6" s="7" t="s">
        <v>55</v>
      </c>
      <c r="B6" s="3">
        <v>22682600</v>
      </c>
    </row>
    <row r="7" spans="1:2" x14ac:dyDescent="0.3">
      <c r="A7" s="7" t="s">
        <v>17</v>
      </c>
      <c r="B7" s="3">
        <v>12809950</v>
      </c>
    </row>
    <row r="8" spans="1:2" x14ac:dyDescent="0.3">
      <c r="A8" s="7" t="s">
        <v>36</v>
      </c>
      <c r="B8" s="3">
        <v>22628050</v>
      </c>
    </row>
    <row r="9" spans="1:2" x14ac:dyDescent="0.3">
      <c r="A9" s="7" t="s">
        <v>28</v>
      </c>
      <c r="B9" s="3">
        <v>19071350</v>
      </c>
    </row>
    <row r="10" spans="1:2" x14ac:dyDescent="0.3">
      <c r="A10" s="7" t="s">
        <v>1190</v>
      </c>
      <c r="B10" s="3">
        <v>112482650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60983-F270-4F87-A59D-CFBF823A8E04}">
  <dimension ref="A1:J6"/>
  <sheetViews>
    <sheetView showGridLines="0" tabSelected="1" topLeftCell="A16" zoomScale="58" workbookViewId="0">
      <selection activeCell="N60" sqref="N60"/>
    </sheetView>
  </sheetViews>
  <sheetFormatPr defaultRowHeight="14.4" x14ac:dyDescent="0.3"/>
  <cols>
    <col min="2" max="2" width="26.44140625" bestFit="1" customWidth="1"/>
    <col min="4" max="4" width="24.6640625" bestFit="1" customWidth="1"/>
    <col min="6" max="6" width="19" bestFit="1" customWidth="1"/>
    <col min="8" max="8" width="22" bestFit="1" customWidth="1"/>
    <col min="10" max="10" width="20" bestFit="1" customWidth="1"/>
  </cols>
  <sheetData>
    <row r="1" spans="1:10" x14ac:dyDescent="0.3">
      <c r="A1" s="19" t="s">
        <v>1206</v>
      </c>
      <c r="B1" s="19"/>
      <c r="C1" s="19"/>
      <c r="D1" s="19"/>
      <c r="E1" s="19"/>
      <c r="F1" s="19"/>
      <c r="G1" s="19"/>
      <c r="H1" s="19"/>
      <c r="I1" s="19"/>
      <c r="J1" s="19"/>
    </row>
    <row r="2" spans="1:10" x14ac:dyDescent="0.3">
      <c r="A2" s="19"/>
      <c r="B2" s="19"/>
      <c r="C2" s="19"/>
      <c r="D2" s="19"/>
      <c r="E2" s="19"/>
      <c r="F2" s="19"/>
      <c r="G2" s="19"/>
      <c r="H2" s="19"/>
      <c r="I2" s="19"/>
      <c r="J2" s="19"/>
    </row>
    <row r="4" spans="1:10" ht="23.4" x14ac:dyDescent="0.45">
      <c r="B4" s="9" t="s">
        <v>1207</v>
      </c>
      <c r="D4" s="10" t="s">
        <v>1208</v>
      </c>
      <c r="F4" s="11" t="s">
        <v>1209</v>
      </c>
      <c r="H4" s="12" t="s">
        <v>1210</v>
      </c>
      <c r="J4" s="13" t="s">
        <v>1211</v>
      </c>
    </row>
    <row r="5" spans="1:10" ht="25.8" x14ac:dyDescent="0.3">
      <c r="B5" s="14">
        <f>SUM(SalesData!K:K)</f>
        <v>112482650</v>
      </c>
      <c r="D5" s="15">
        <f>SUM(SalesData!M:M)</f>
        <v>29623550</v>
      </c>
      <c r="F5" s="16">
        <f>COUNTA(Table1[Order ID])</f>
        <v>1000</v>
      </c>
      <c r="H5" s="17">
        <f>SUM(SalesData!H:H)</f>
        <v>10568</v>
      </c>
      <c r="J5" s="18">
        <f>SUM(SalesData!M:M)/SUM(Table1[Revenue])</f>
        <v>0.26336106057245273</v>
      </c>
    </row>
    <row r="6" spans="1:10" x14ac:dyDescent="0.3">
      <c r="J6" s="1"/>
    </row>
  </sheetData>
  <mergeCells count="1">
    <mergeCell ref="A1:J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workbookViewId="0">
      <pane ySplit="1" topLeftCell="A2" activePane="bottomLeft" state="frozen"/>
      <selection pane="bottomLeft" activeCell="K2" sqref="K2"/>
    </sheetView>
  </sheetViews>
  <sheetFormatPr defaultRowHeight="14.4" x14ac:dyDescent="0.3"/>
  <cols>
    <col min="1" max="1" width="9.88671875" customWidth="1"/>
    <col min="2" max="2" width="17.44140625" style="2" customWidth="1"/>
    <col min="3" max="3" width="16.44140625" customWidth="1"/>
    <col min="5" max="5" width="12.88671875" customWidth="1"/>
    <col min="6" max="6" width="10.44140625" customWidth="1"/>
    <col min="7" max="7" width="9.5546875" customWidth="1"/>
    <col min="8" max="8" width="10.21875" customWidth="1"/>
    <col min="9" max="9" width="11.109375" style="3" customWidth="1"/>
    <col min="10" max="10" width="12.88671875" style="3" customWidth="1"/>
    <col min="11" max="11" width="14.109375" style="3" customWidth="1"/>
    <col min="12" max="13" width="11.88671875" style="3" bestFit="1" customWidth="1"/>
    <col min="14" max="14" width="9.44140625" style="5" customWidth="1"/>
    <col min="16" max="16" width="10.44140625" bestFit="1" customWidth="1"/>
  </cols>
  <sheetData>
    <row r="1" spans="1:16" x14ac:dyDescent="0.3">
      <c r="A1" t="s">
        <v>0</v>
      </c>
      <c r="B1" s="2" t="s">
        <v>1</v>
      </c>
      <c r="C1" t="s">
        <v>2</v>
      </c>
      <c r="D1" t="s">
        <v>3</v>
      </c>
      <c r="E1" t="s">
        <v>4</v>
      </c>
      <c r="F1" t="s">
        <v>5</v>
      </c>
      <c r="G1" t="s">
        <v>6</v>
      </c>
      <c r="H1" t="s">
        <v>7</v>
      </c>
      <c r="I1" s="3" t="s">
        <v>8</v>
      </c>
      <c r="J1" s="3" t="s">
        <v>9</v>
      </c>
      <c r="K1" s="3" t="s">
        <v>10</v>
      </c>
      <c r="L1" s="3" t="s">
        <v>11</v>
      </c>
      <c r="M1" s="3" t="s">
        <v>12</v>
      </c>
      <c r="N1" s="5" t="s">
        <v>13</v>
      </c>
    </row>
    <row r="2" spans="1:16" x14ac:dyDescent="0.3">
      <c r="A2" t="s">
        <v>14</v>
      </c>
      <c r="B2" s="2">
        <v>45949</v>
      </c>
      <c r="C2" t="s">
        <v>15</v>
      </c>
      <c r="D2" t="s">
        <v>16</v>
      </c>
      <c r="E2" t="s">
        <v>17</v>
      </c>
      <c r="F2" t="s">
        <v>18</v>
      </c>
      <c r="G2" t="s">
        <v>19</v>
      </c>
      <c r="H2">
        <v>16</v>
      </c>
      <c r="I2" s="3">
        <v>1800</v>
      </c>
      <c r="J2" s="4">
        <v>2600</v>
      </c>
      <c r="K2" s="3">
        <v>41600</v>
      </c>
      <c r="L2" s="3">
        <v>28800</v>
      </c>
      <c r="M2" s="3">
        <v>12800</v>
      </c>
      <c r="N2" s="5">
        <v>0.30769230769230771</v>
      </c>
    </row>
    <row r="3" spans="1:16" x14ac:dyDescent="0.3">
      <c r="A3" t="s">
        <v>20</v>
      </c>
      <c r="B3" s="2">
        <v>45704</v>
      </c>
      <c r="C3" t="s">
        <v>21</v>
      </c>
      <c r="D3" t="s">
        <v>22</v>
      </c>
      <c r="E3" t="s">
        <v>23</v>
      </c>
      <c r="F3" t="s">
        <v>24</v>
      </c>
      <c r="G3" t="s">
        <v>25</v>
      </c>
      <c r="H3">
        <v>2</v>
      </c>
      <c r="I3" s="3">
        <v>15000</v>
      </c>
      <c r="J3" s="3">
        <v>19500</v>
      </c>
      <c r="K3" s="3">
        <v>39000</v>
      </c>
      <c r="L3" s="3">
        <v>30000</v>
      </c>
      <c r="M3" s="3">
        <v>9000</v>
      </c>
      <c r="N3" s="5">
        <v>0.23076923076923081</v>
      </c>
    </row>
    <row r="4" spans="1:16" x14ac:dyDescent="0.3">
      <c r="A4" t="s">
        <v>26</v>
      </c>
      <c r="B4" s="2">
        <v>45964</v>
      </c>
      <c r="C4" t="s">
        <v>27</v>
      </c>
      <c r="D4" t="s">
        <v>16</v>
      </c>
      <c r="E4" t="s">
        <v>28</v>
      </c>
      <c r="F4" t="s">
        <v>24</v>
      </c>
      <c r="G4" t="s">
        <v>29</v>
      </c>
      <c r="H4">
        <v>1</v>
      </c>
      <c r="I4" s="3">
        <v>12000</v>
      </c>
      <c r="J4" s="3">
        <v>16500</v>
      </c>
      <c r="K4" s="3">
        <v>16500</v>
      </c>
      <c r="L4" s="3">
        <v>12000</v>
      </c>
      <c r="M4" s="3">
        <v>4500</v>
      </c>
      <c r="N4" s="5">
        <v>0.27272727272727271</v>
      </c>
    </row>
    <row r="5" spans="1:16" x14ac:dyDescent="0.3">
      <c r="A5" t="s">
        <v>30</v>
      </c>
      <c r="B5" s="2">
        <v>45769</v>
      </c>
      <c r="C5" t="s">
        <v>31</v>
      </c>
      <c r="D5" t="s">
        <v>22</v>
      </c>
      <c r="E5" t="s">
        <v>32</v>
      </c>
      <c r="F5" t="s">
        <v>18</v>
      </c>
      <c r="G5" t="s">
        <v>19</v>
      </c>
      <c r="H5">
        <v>11</v>
      </c>
      <c r="I5" s="3">
        <v>1800</v>
      </c>
      <c r="J5" s="3">
        <v>2600</v>
      </c>
      <c r="K5" s="3">
        <v>28600</v>
      </c>
      <c r="L5" s="3">
        <v>19800</v>
      </c>
      <c r="M5" s="3">
        <v>8800</v>
      </c>
      <c r="N5" s="5">
        <v>0.30769230769230771</v>
      </c>
    </row>
    <row r="6" spans="1:16" x14ac:dyDescent="0.3">
      <c r="A6" t="s">
        <v>33</v>
      </c>
      <c r="B6" s="2">
        <v>45893</v>
      </c>
      <c r="C6" t="s">
        <v>34</v>
      </c>
      <c r="D6" t="s">
        <v>35</v>
      </c>
      <c r="E6" t="s">
        <v>36</v>
      </c>
      <c r="F6" t="s">
        <v>18</v>
      </c>
      <c r="G6" t="s">
        <v>37</v>
      </c>
      <c r="H6">
        <v>16</v>
      </c>
      <c r="I6" s="3">
        <v>400</v>
      </c>
      <c r="J6" s="3">
        <v>650</v>
      </c>
      <c r="K6" s="3">
        <v>10400</v>
      </c>
      <c r="L6" s="3">
        <v>6400</v>
      </c>
      <c r="M6" s="3">
        <v>4000</v>
      </c>
      <c r="N6" s="5">
        <v>0.38461538461538458</v>
      </c>
    </row>
    <row r="7" spans="1:16" x14ac:dyDescent="0.3">
      <c r="A7" t="s">
        <v>38</v>
      </c>
      <c r="B7" s="2">
        <v>45662</v>
      </c>
      <c r="C7" t="s">
        <v>39</v>
      </c>
      <c r="D7" t="s">
        <v>40</v>
      </c>
      <c r="E7" t="s">
        <v>17</v>
      </c>
      <c r="F7" t="s">
        <v>41</v>
      </c>
      <c r="G7" t="s">
        <v>42</v>
      </c>
      <c r="H7">
        <v>5</v>
      </c>
      <c r="I7" s="3">
        <v>8500</v>
      </c>
      <c r="J7" s="3">
        <v>12000</v>
      </c>
      <c r="K7" s="3">
        <v>60000</v>
      </c>
      <c r="L7" s="3">
        <v>42500</v>
      </c>
      <c r="M7" s="3">
        <v>17500</v>
      </c>
      <c r="N7" s="5">
        <v>0.29166666666666669</v>
      </c>
    </row>
    <row r="8" spans="1:16" x14ac:dyDescent="0.3">
      <c r="A8" t="s">
        <v>43</v>
      </c>
      <c r="B8" s="2">
        <v>45965</v>
      </c>
      <c r="C8" t="s">
        <v>44</v>
      </c>
      <c r="D8" t="s">
        <v>22</v>
      </c>
      <c r="E8" t="s">
        <v>17</v>
      </c>
      <c r="F8" t="s">
        <v>41</v>
      </c>
      <c r="G8" t="s">
        <v>42</v>
      </c>
      <c r="H8">
        <v>8</v>
      </c>
      <c r="I8" s="3">
        <v>8500</v>
      </c>
      <c r="J8" s="3">
        <v>12000</v>
      </c>
      <c r="K8" s="3">
        <v>96000</v>
      </c>
      <c r="L8" s="3">
        <v>68000</v>
      </c>
      <c r="M8" s="3">
        <v>28000</v>
      </c>
      <c r="N8" s="5">
        <v>0.29166666666666669</v>
      </c>
    </row>
    <row r="9" spans="1:16" x14ac:dyDescent="0.3">
      <c r="A9" t="s">
        <v>45</v>
      </c>
      <c r="B9" s="2">
        <v>45701</v>
      </c>
      <c r="C9" t="s">
        <v>39</v>
      </c>
      <c r="D9" t="s">
        <v>46</v>
      </c>
      <c r="E9" t="s">
        <v>36</v>
      </c>
      <c r="F9" t="s">
        <v>47</v>
      </c>
      <c r="G9" t="s">
        <v>48</v>
      </c>
      <c r="H9">
        <v>7</v>
      </c>
      <c r="I9" s="3">
        <v>2800</v>
      </c>
      <c r="J9" s="3">
        <v>4200</v>
      </c>
      <c r="K9" s="3">
        <v>29400</v>
      </c>
      <c r="L9" s="3">
        <v>19600</v>
      </c>
      <c r="M9" s="3">
        <v>9800</v>
      </c>
      <c r="N9" s="5">
        <v>0.33333333333333331</v>
      </c>
      <c r="P9" s="1"/>
    </row>
    <row r="10" spans="1:16" x14ac:dyDescent="0.3">
      <c r="A10" t="s">
        <v>49</v>
      </c>
      <c r="B10" s="2">
        <v>45900</v>
      </c>
      <c r="C10" t="s">
        <v>50</v>
      </c>
      <c r="D10" t="s">
        <v>35</v>
      </c>
      <c r="E10" t="s">
        <v>28</v>
      </c>
      <c r="F10" t="s">
        <v>18</v>
      </c>
      <c r="G10" t="s">
        <v>19</v>
      </c>
      <c r="H10">
        <v>19</v>
      </c>
      <c r="I10" s="3">
        <v>1800</v>
      </c>
      <c r="J10" s="3">
        <v>2600</v>
      </c>
      <c r="K10" s="3">
        <v>49400</v>
      </c>
      <c r="L10" s="3">
        <v>34200</v>
      </c>
      <c r="M10" s="3">
        <v>15200</v>
      </c>
      <c r="N10" s="5">
        <v>0.30769230769230771</v>
      </c>
    </row>
    <row r="11" spans="1:16" x14ac:dyDescent="0.3">
      <c r="A11" t="s">
        <v>51</v>
      </c>
      <c r="B11" s="2">
        <v>45726</v>
      </c>
      <c r="C11" t="s">
        <v>52</v>
      </c>
      <c r="D11" t="s">
        <v>40</v>
      </c>
      <c r="E11" t="s">
        <v>36</v>
      </c>
      <c r="F11" t="s">
        <v>18</v>
      </c>
      <c r="G11" t="s">
        <v>37</v>
      </c>
      <c r="H11">
        <v>15</v>
      </c>
      <c r="I11" s="3">
        <v>400</v>
      </c>
      <c r="J11" s="3">
        <v>650</v>
      </c>
      <c r="K11" s="3">
        <v>9750</v>
      </c>
      <c r="L11" s="3">
        <v>6000</v>
      </c>
      <c r="M11" s="3">
        <v>3750</v>
      </c>
      <c r="N11" s="5">
        <v>0.38461538461538458</v>
      </c>
    </row>
    <row r="12" spans="1:16" x14ac:dyDescent="0.3">
      <c r="A12" t="s">
        <v>53</v>
      </c>
      <c r="B12" s="2">
        <v>45859</v>
      </c>
      <c r="C12" t="s">
        <v>54</v>
      </c>
      <c r="D12" t="s">
        <v>46</v>
      </c>
      <c r="E12" t="s">
        <v>55</v>
      </c>
      <c r="F12" t="s">
        <v>24</v>
      </c>
      <c r="G12" t="s">
        <v>29</v>
      </c>
      <c r="H12">
        <v>18</v>
      </c>
      <c r="I12" s="3">
        <v>12000</v>
      </c>
      <c r="J12" s="3">
        <v>16500</v>
      </c>
      <c r="K12" s="3">
        <v>297000</v>
      </c>
      <c r="L12" s="3">
        <v>216000</v>
      </c>
      <c r="M12" s="3">
        <v>81000</v>
      </c>
      <c r="N12" s="5">
        <v>0.27272727272727271</v>
      </c>
    </row>
    <row r="13" spans="1:16" x14ac:dyDescent="0.3">
      <c r="A13" t="s">
        <v>56</v>
      </c>
      <c r="B13" s="2">
        <v>45703</v>
      </c>
      <c r="C13" t="s">
        <v>57</v>
      </c>
      <c r="D13" t="s">
        <v>40</v>
      </c>
      <c r="E13" t="s">
        <v>23</v>
      </c>
      <c r="F13" t="s">
        <v>24</v>
      </c>
      <c r="G13" t="s">
        <v>29</v>
      </c>
      <c r="H13">
        <v>11</v>
      </c>
      <c r="I13" s="3">
        <v>12000</v>
      </c>
      <c r="J13" s="3">
        <v>16500</v>
      </c>
      <c r="K13" s="3">
        <v>181500</v>
      </c>
      <c r="L13" s="3">
        <v>132000</v>
      </c>
      <c r="M13" s="3">
        <v>49500</v>
      </c>
      <c r="N13" s="5">
        <v>0.27272727272727271</v>
      </c>
    </row>
    <row r="14" spans="1:16" x14ac:dyDescent="0.3">
      <c r="A14" t="s">
        <v>58</v>
      </c>
      <c r="B14" s="2">
        <v>45881</v>
      </c>
      <c r="C14" t="s">
        <v>59</v>
      </c>
      <c r="D14" t="s">
        <v>40</v>
      </c>
      <c r="E14" t="s">
        <v>32</v>
      </c>
      <c r="F14" t="s">
        <v>18</v>
      </c>
      <c r="G14" t="s">
        <v>60</v>
      </c>
      <c r="H14">
        <v>15</v>
      </c>
      <c r="I14" s="3">
        <v>1800</v>
      </c>
      <c r="J14" s="3">
        <v>2800</v>
      </c>
      <c r="K14" s="3">
        <v>42000</v>
      </c>
      <c r="L14" s="3">
        <v>27000</v>
      </c>
      <c r="M14" s="3">
        <v>15000</v>
      </c>
      <c r="N14" s="5">
        <v>0.35714285714285721</v>
      </c>
    </row>
    <row r="15" spans="1:16" x14ac:dyDescent="0.3">
      <c r="A15" t="s">
        <v>61</v>
      </c>
      <c r="B15" s="2">
        <v>45876</v>
      </c>
      <c r="C15" t="s">
        <v>62</v>
      </c>
      <c r="D15" t="s">
        <v>22</v>
      </c>
      <c r="E15" t="s">
        <v>36</v>
      </c>
      <c r="F15" t="s">
        <v>24</v>
      </c>
      <c r="G15" t="s">
        <v>63</v>
      </c>
      <c r="H15">
        <v>3</v>
      </c>
      <c r="I15" s="3">
        <v>42000</v>
      </c>
      <c r="J15" s="3">
        <v>55000</v>
      </c>
      <c r="K15" s="3">
        <v>165000</v>
      </c>
      <c r="L15" s="3">
        <v>126000</v>
      </c>
      <c r="M15" s="3">
        <v>39000</v>
      </c>
      <c r="N15" s="5">
        <v>0.23636363636363639</v>
      </c>
    </row>
    <row r="16" spans="1:16" x14ac:dyDescent="0.3">
      <c r="A16" t="s">
        <v>64</v>
      </c>
      <c r="B16" s="2">
        <v>45796</v>
      </c>
      <c r="C16" t="s">
        <v>65</v>
      </c>
      <c r="D16" t="s">
        <v>46</v>
      </c>
      <c r="E16" t="s">
        <v>32</v>
      </c>
      <c r="F16" t="s">
        <v>18</v>
      </c>
      <c r="G16" t="s">
        <v>19</v>
      </c>
      <c r="H16">
        <v>12</v>
      </c>
      <c r="I16" s="3">
        <v>1800</v>
      </c>
      <c r="J16" s="3">
        <v>2600</v>
      </c>
      <c r="K16" s="3">
        <v>31200</v>
      </c>
      <c r="L16" s="3">
        <v>21600</v>
      </c>
      <c r="M16" s="3">
        <v>9600</v>
      </c>
      <c r="N16" s="5">
        <v>0.30769230769230771</v>
      </c>
    </row>
    <row r="17" spans="1:14" x14ac:dyDescent="0.3">
      <c r="A17" t="s">
        <v>66</v>
      </c>
      <c r="B17" s="2">
        <v>45914</v>
      </c>
      <c r="C17" t="s">
        <v>67</v>
      </c>
      <c r="D17" t="s">
        <v>35</v>
      </c>
      <c r="E17" t="s">
        <v>55</v>
      </c>
      <c r="F17" t="s">
        <v>24</v>
      </c>
      <c r="G17" t="s">
        <v>29</v>
      </c>
      <c r="H17">
        <v>12</v>
      </c>
      <c r="I17" s="3">
        <v>12000</v>
      </c>
      <c r="J17" s="3">
        <v>16500</v>
      </c>
      <c r="K17" s="3">
        <v>198000</v>
      </c>
      <c r="L17" s="3">
        <v>144000</v>
      </c>
      <c r="M17" s="3">
        <v>54000</v>
      </c>
      <c r="N17" s="5">
        <v>0.27272727272727271</v>
      </c>
    </row>
    <row r="18" spans="1:14" x14ac:dyDescent="0.3">
      <c r="A18" t="s">
        <v>68</v>
      </c>
      <c r="B18" s="2">
        <v>46003</v>
      </c>
      <c r="C18" t="s">
        <v>69</v>
      </c>
      <c r="D18" t="s">
        <v>35</v>
      </c>
      <c r="E18" t="s">
        <v>17</v>
      </c>
      <c r="F18" t="s">
        <v>24</v>
      </c>
      <c r="G18" t="s">
        <v>63</v>
      </c>
      <c r="H18">
        <v>2</v>
      </c>
      <c r="I18" s="3">
        <v>42000</v>
      </c>
      <c r="J18" s="3">
        <v>55000</v>
      </c>
      <c r="K18" s="3">
        <v>110000</v>
      </c>
      <c r="L18" s="3">
        <v>84000</v>
      </c>
      <c r="M18" s="3">
        <v>26000</v>
      </c>
      <c r="N18" s="5">
        <v>0.23636363636363639</v>
      </c>
    </row>
    <row r="19" spans="1:14" x14ac:dyDescent="0.3">
      <c r="A19" t="s">
        <v>70</v>
      </c>
      <c r="B19" s="2">
        <v>45851</v>
      </c>
      <c r="C19" t="s">
        <v>71</v>
      </c>
      <c r="D19" t="s">
        <v>35</v>
      </c>
      <c r="E19" t="s">
        <v>23</v>
      </c>
      <c r="F19" t="s">
        <v>18</v>
      </c>
      <c r="G19" t="s">
        <v>72</v>
      </c>
      <c r="H19">
        <v>7</v>
      </c>
      <c r="I19" s="3">
        <v>900</v>
      </c>
      <c r="J19" s="3">
        <v>1500</v>
      </c>
      <c r="K19" s="3">
        <v>10500</v>
      </c>
      <c r="L19" s="3">
        <v>6300</v>
      </c>
      <c r="M19" s="3">
        <v>4200</v>
      </c>
      <c r="N19" s="5">
        <v>0.4</v>
      </c>
    </row>
    <row r="20" spans="1:14" x14ac:dyDescent="0.3">
      <c r="A20" t="s">
        <v>73</v>
      </c>
      <c r="B20" s="2">
        <v>45768</v>
      </c>
      <c r="C20" t="s">
        <v>62</v>
      </c>
      <c r="D20" t="s">
        <v>46</v>
      </c>
      <c r="E20" t="s">
        <v>36</v>
      </c>
      <c r="F20" t="s">
        <v>18</v>
      </c>
      <c r="G20" t="s">
        <v>37</v>
      </c>
      <c r="H20">
        <v>4</v>
      </c>
      <c r="I20" s="3">
        <v>400</v>
      </c>
      <c r="J20" s="3">
        <v>650</v>
      </c>
      <c r="K20" s="3">
        <v>2600</v>
      </c>
      <c r="L20" s="3">
        <v>1600</v>
      </c>
      <c r="M20" s="3">
        <v>1000</v>
      </c>
      <c r="N20" s="5">
        <v>0.38461538461538458</v>
      </c>
    </row>
    <row r="21" spans="1:14" x14ac:dyDescent="0.3">
      <c r="A21" t="s">
        <v>74</v>
      </c>
      <c r="B21" s="2">
        <v>45875</v>
      </c>
      <c r="C21" t="s">
        <v>75</v>
      </c>
      <c r="D21" t="s">
        <v>40</v>
      </c>
      <c r="E21" t="s">
        <v>17</v>
      </c>
      <c r="F21" t="s">
        <v>18</v>
      </c>
      <c r="G21" t="s">
        <v>76</v>
      </c>
      <c r="H21">
        <v>12</v>
      </c>
      <c r="I21" s="3">
        <v>2500</v>
      </c>
      <c r="J21" s="3">
        <v>3600</v>
      </c>
      <c r="K21" s="3">
        <v>43200</v>
      </c>
      <c r="L21" s="3">
        <v>30000</v>
      </c>
      <c r="M21" s="3">
        <v>13200</v>
      </c>
      <c r="N21" s="5">
        <v>0.30555555555555558</v>
      </c>
    </row>
    <row r="22" spans="1:14" x14ac:dyDescent="0.3">
      <c r="A22" t="s">
        <v>77</v>
      </c>
      <c r="B22" s="2">
        <v>45898</v>
      </c>
      <c r="C22" t="s">
        <v>78</v>
      </c>
      <c r="D22" t="s">
        <v>35</v>
      </c>
      <c r="E22" t="s">
        <v>36</v>
      </c>
      <c r="F22" t="s">
        <v>41</v>
      </c>
      <c r="G22" t="s">
        <v>42</v>
      </c>
      <c r="H22">
        <v>9</v>
      </c>
      <c r="I22" s="3">
        <v>8500</v>
      </c>
      <c r="J22" s="3">
        <v>12000</v>
      </c>
      <c r="K22" s="3">
        <v>108000</v>
      </c>
      <c r="L22" s="3">
        <v>76500</v>
      </c>
      <c r="M22" s="3">
        <v>31500</v>
      </c>
      <c r="N22" s="5">
        <v>0.29166666666666669</v>
      </c>
    </row>
    <row r="23" spans="1:14" x14ac:dyDescent="0.3">
      <c r="A23" t="s">
        <v>79</v>
      </c>
      <c r="B23" s="2">
        <v>45947</v>
      </c>
      <c r="C23" t="s">
        <v>80</v>
      </c>
      <c r="D23" t="s">
        <v>22</v>
      </c>
      <c r="E23" t="s">
        <v>28</v>
      </c>
      <c r="F23" t="s">
        <v>18</v>
      </c>
      <c r="G23" t="s">
        <v>72</v>
      </c>
      <c r="H23">
        <v>15</v>
      </c>
      <c r="I23" s="3">
        <v>900</v>
      </c>
      <c r="J23" s="3">
        <v>1500</v>
      </c>
      <c r="K23" s="3">
        <v>22500</v>
      </c>
      <c r="L23" s="3">
        <v>13500</v>
      </c>
      <c r="M23" s="3">
        <v>9000</v>
      </c>
      <c r="N23" s="5">
        <v>0.4</v>
      </c>
    </row>
    <row r="24" spans="1:14" x14ac:dyDescent="0.3">
      <c r="A24" t="s">
        <v>81</v>
      </c>
      <c r="B24" s="2">
        <v>45904</v>
      </c>
      <c r="C24" t="s">
        <v>39</v>
      </c>
      <c r="D24" t="s">
        <v>35</v>
      </c>
      <c r="E24" t="s">
        <v>23</v>
      </c>
      <c r="F24" t="s">
        <v>41</v>
      </c>
      <c r="G24" t="s">
        <v>42</v>
      </c>
      <c r="H24">
        <v>12</v>
      </c>
      <c r="I24" s="3">
        <v>8500</v>
      </c>
      <c r="J24" s="3">
        <v>12000</v>
      </c>
      <c r="K24" s="3">
        <v>144000</v>
      </c>
      <c r="L24" s="3">
        <v>102000</v>
      </c>
      <c r="M24" s="3">
        <v>42000</v>
      </c>
      <c r="N24" s="5">
        <v>0.29166666666666669</v>
      </c>
    </row>
    <row r="25" spans="1:14" x14ac:dyDescent="0.3">
      <c r="A25" t="s">
        <v>82</v>
      </c>
      <c r="B25" s="2">
        <v>45694</v>
      </c>
      <c r="C25" t="s">
        <v>83</v>
      </c>
      <c r="D25" t="s">
        <v>35</v>
      </c>
      <c r="E25" t="s">
        <v>17</v>
      </c>
      <c r="F25" t="s">
        <v>24</v>
      </c>
      <c r="G25" t="s">
        <v>25</v>
      </c>
      <c r="H25">
        <v>5</v>
      </c>
      <c r="I25" s="3">
        <v>15000</v>
      </c>
      <c r="J25" s="3">
        <v>19500</v>
      </c>
      <c r="K25" s="3">
        <v>97500</v>
      </c>
      <c r="L25" s="3">
        <v>75000</v>
      </c>
      <c r="M25" s="3">
        <v>22500</v>
      </c>
      <c r="N25" s="5">
        <v>0.23076923076923081</v>
      </c>
    </row>
    <row r="26" spans="1:14" x14ac:dyDescent="0.3">
      <c r="A26" t="s">
        <v>84</v>
      </c>
      <c r="B26" s="2">
        <v>45736</v>
      </c>
      <c r="C26" t="s">
        <v>85</v>
      </c>
      <c r="D26" t="s">
        <v>16</v>
      </c>
      <c r="E26" t="s">
        <v>36</v>
      </c>
      <c r="F26" t="s">
        <v>24</v>
      </c>
      <c r="G26" t="s">
        <v>63</v>
      </c>
      <c r="H26">
        <v>4</v>
      </c>
      <c r="I26" s="3">
        <v>42000</v>
      </c>
      <c r="J26" s="3">
        <v>55000</v>
      </c>
      <c r="K26" s="3">
        <v>220000</v>
      </c>
      <c r="L26" s="3">
        <v>168000</v>
      </c>
      <c r="M26" s="3">
        <v>52000</v>
      </c>
      <c r="N26" s="5">
        <v>0.23636363636363639</v>
      </c>
    </row>
    <row r="27" spans="1:14" x14ac:dyDescent="0.3">
      <c r="A27" t="s">
        <v>86</v>
      </c>
      <c r="B27" s="2">
        <v>45768</v>
      </c>
      <c r="C27" t="s">
        <v>87</v>
      </c>
      <c r="D27" t="s">
        <v>35</v>
      </c>
      <c r="E27" t="s">
        <v>17</v>
      </c>
      <c r="F27" t="s">
        <v>41</v>
      </c>
      <c r="G27" t="s">
        <v>42</v>
      </c>
      <c r="H27">
        <v>3</v>
      </c>
      <c r="I27" s="3">
        <v>8500</v>
      </c>
      <c r="J27" s="3">
        <v>12000</v>
      </c>
      <c r="K27" s="3">
        <v>36000</v>
      </c>
      <c r="L27" s="3">
        <v>25500</v>
      </c>
      <c r="M27" s="3">
        <v>10500</v>
      </c>
      <c r="N27" s="5">
        <v>0.29166666666666669</v>
      </c>
    </row>
    <row r="28" spans="1:14" x14ac:dyDescent="0.3">
      <c r="A28" t="s">
        <v>88</v>
      </c>
      <c r="B28" s="2">
        <v>45815</v>
      </c>
      <c r="C28" t="s">
        <v>89</v>
      </c>
      <c r="D28" t="s">
        <v>22</v>
      </c>
      <c r="E28" t="s">
        <v>36</v>
      </c>
      <c r="F28" t="s">
        <v>24</v>
      </c>
      <c r="G28" t="s">
        <v>29</v>
      </c>
      <c r="H28">
        <v>19</v>
      </c>
      <c r="I28" s="3">
        <v>12000</v>
      </c>
      <c r="J28" s="3">
        <v>16500</v>
      </c>
      <c r="K28" s="3">
        <v>313500</v>
      </c>
      <c r="L28" s="3">
        <v>228000</v>
      </c>
      <c r="M28" s="3">
        <v>85500</v>
      </c>
      <c r="N28" s="5">
        <v>0.27272727272727271</v>
      </c>
    </row>
    <row r="29" spans="1:14" x14ac:dyDescent="0.3">
      <c r="A29" t="s">
        <v>90</v>
      </c>
      <c r="B29" s="2">
        <v>45832</v>
      </c>
      <c r="C29" t="s">
        <v>91</v>
      </c>
      <c r="D29" t="s">
        <v>40</v>
      </c>
      <c r="E29" t="s">
        <v>32</v>
      </c>
      <c r="F29" t="s">
        <v>24</v>
      </c>
      <c r="G29" t="s">
        <v>29</v>
      </c>
      <c r="H29">
        <v>2</v>
      </c>
      <c r="I29" s="3">
        <v>12000</v>
      </c>
      <c r="J29" s="3">
        <v>16500</v>
      </c>
      <c r="K29" s="3">
        <v>33000</v>
      </c>
      <c r="L29" s="3">
        <v>24000</v>
      </c>
      <c r="M29" s="3">
        <v>9000</v>
      </c>
      <c r="N29" s="5">
        <v>0.27272727272727271</v>
      </c>
    </row>
    <row r="30" spans="1:14" x14ac:dyDescent="0.3">
      <c r="A30" t="s">
        <v>92</v>
      </c>
      <c r="B30" s="2">
        <v>45792</v>
      </c>
      <c r="C30" t="s">
        <v>93</v>
      </c>
      <c r="D30" t="s">
        <v>46</v>
      </c>
      <c r="E30" t="s">
        <v>23</v>
      </c>
      <c r="F30" t="s">
        <v>41</v>
      </c>
      <c r="G30" t="s">
        <v>42</v>
      </c>
      <c r="H30">
        <v>18</v>
      </c>
      <c r="I30" s="3">
        <v>8500</v>
      </c>
      <c r="J30" s="3">
        <v>12000</v>
      </c>
      <c r="K30" s="3">
        <v>216000</v>
      </c>
      <c r="L30" s="3">
        <v>153000</v>
      </c>
      <c r="M30" s="3">
        <v>63000</v>
      </c>
      <c r="N30" s="5">
        <v>0.29166666666666669</v>
      </c>
    </row>
    <row r="31" spans="1:14" x14ac:dyDescent="0.3">
      <c r="A31" t="s">
        <v>94</v>
      </c>
      <c r="B31" s="2">
        <v>45906</v>
      </c>
      <c r="C31" t="s">
        <v>95</v>
      </c>
      <c r="D31" t="s">
        <v>46</v>
      </c>
      <c r="E31" t="s">
        <v>17</v>
      </c>
      <c r="F31" t="s">
        <v>18</v>
      </c>
      <c r="G31" t="s">
        <v>60</v>
      </c>
      <c r="H31">
        <v>5</v>
      </c>
      <c r="I31" s="3">
        <v>1800</v>
      </c>
      <c r="J31" s="3">
        <v>2800</v>
      </c>
      <c r="K31" s="3">
        <v>14000</v>
      </c>
      <c r="L31" s="3">
        <v>9000</v>
      </c>
      <c r="M31" s="3">
        <v>5000</v>
      </c>
      <c r="N31" s="5">
        <v>0.35714285714285721</v>
      </c>
    </row>
    <row r="32" spans="1:14" x14ac:dyDescent="0.3">
      <c r="A32" t="s">
        <v>96</v>
      </c>
      <c r="B32" s="2">
        <v>45673</v>
      </c>
      <c r="C32" t="s">
        <v>97</v>
      </c>
      <c r="D32" t="s">
        <v>35</v>
      </c>
      <c r="E32" t="s">
        <v>28</v>
      </c>
      <c r="F32" t="s">
        <v>18</v>
      </c>
      <c r="G32" t="s">
        <v>60</v>
      </c>
      <c r="H32">
        <v>1</v>
      </c>
      <c r="I32" s="3">
        <v>1800</v>
      </c>
      <c r="J32" s="3">
        <v>2800</v>
      </c>
      <c r="K32" s="3">
        <v>2800</v>
      </c>
      <c r="L32" s="3">
        <v>1800</v>
      </c>
      <c r="M32" s="3">
        <v>1000</v>
      </c>
      <c r="N32" s="5">
        <v>0.35714285714285721</v>
      </c>
    </row>
    <row r="33" spans="1:14" x14ac:dyDescent="0.3">
      <c r="A33" t="s">
        <v>98</v>
      </c>
      <c r="B33" s="2">
        <v>45956</v>
      </c>
      <c r="C33" t="s">
        <v>99</v>
      </c>
      <c r="D33" t="s">
        <v>22</v>
      </c>
      <c r="E33" t="s">
        <v>36</v>
      </c>
      <c r="F33" t="s">
        <v>24</v>
      </c>
      <c r="G33" t="s">
        <v>29</v>
      </c>
      <c r="H33">
        <v>8</v>
      </c>
      <c r="I33" s="3">
        <v>12000</v>
      </c>
      <c r="J33" s="3">
        <v>16500</v>
      </c>
      <c r="K33" s="3">
        <v>132000</v>
      </c>
      <c r="L33" s="3">
        <v>96000</v>
      </c>
      <c r="M33" s="3">
        <v>36000</v>
      </c>
      <c r="N33" s="5">
        <v>0.27272727272727271</v>
      </c>
    </row>
    <row r="34" spans="1:14" x14ac:dyDescent="0.3">
      <c r="A34" t="s">
        <v>100</v>
      </c>
      <c r="B34" s="2">
        <v>45949</v>
      </c>
      <c r="C34" t="s">
        <v>83</v>
      </c>
      <c r="D34" t="s">
        <v>35</v>
      </c>
      <c r="E34" t="s">
        <v>17</v>
      </c>
      <c r="F34" t="s">
        <v>24</v>
      </c>
      <c r="G34" t="s">
        <v>25</v>
      </c>
      <c r="H34">
        <v>9</v>
      </c>
      <c r="I34" s="3">
        <v>15000</v>
      </c>
      <c r="J34" s="3">
        <v>19500</v>
      </c>
      <c r="K34" s="3">
        <v>175500</v>
      </c>
      <c r="L34" s="3">
        <v>135000</v>
      </c>
      <c r="M34" s="3">
        <v>40500</v>
      </c>
      <c r="N34" s="5">
        <v>0.23076923076923081</v>
      </c>
    </row>
    <row r="35" spans="1:14" x14ac:dyDescent="0.3">
      <c r="A35" t="s">
        <v>101</v>
      </c>
      <c r="B35" s="2">
        <v>45774</v>
      </c>
      <c r="C35" t="s">
        <v>102</v>
      </c>
      <c r="D35" t="s">
        <v>40</v>
      </c>
      <c r="E35" t="s">
        <v>55</v>
      </c>
      <c r="F35" t="s">
        <v>18</v>
      </c>
      <c r="G35" t="s">
        <v>60</v>
      </c>
      <c r="H35">
        <v>9</v>
      </c>
      <c r="I35" s="3">
        <v>1800</v>
      </c>
      <c r="J35" s="3">
        <v>2800</v>
      </c>
      <c r="K35" s="3">
        <v>25200</v>
      </c>
      <c r="L35" s="3">
        <v>16200</v>
      </c>
      <c r="M35" s="3">
        <v>9000</v>
      </c>
      <c r="N35" s="5">
        <v>0.35714285714285721</v>
      </c>
    </row>
    <row r="36" spans="1:14" x14ac:dyDescent="0.3">
      <c r="A36" t="s">
        <v>103</v>
      </c>
      <c r="B36" s="2">
        <v>46012</v>
      </c>
      <c r="C36" t="s">
        <v>104</v>
      </c>
      <c r="D36" t="s">
        <v>16</v>
      </c>
      <c r="E36" t="s">
        <v>32</v>
      </c>
      <c r="F36" t="s">
        <v>24</v>
      </c>
      <c r="G36" t="s">
        <v>29</v>
      </c>
      <c r="H36">
        <v>8</v>
      </c>
      <c r="I36" s="3">
        <v>12000</v>
      </c>
      <c r="J36" s="3">
        <v>16500</v>
      </c>
      <c r="K36" s="3">
        <v>132000</v>
      </c>
      <c r="L36" s="3">
        <v>96000</v>
      </c>
      <c r="M36" s="3">
        <v>36000</v>
      </c>
      <c r="N36" s="5">
        <v>0.27272727272727271</v>
      </c>
    </row>
    <row r="37" spans="1:14" x14ac:dyDescent="0.3">
      <c r="A37" t="s">
        <v>105</v>
      </c>
      <c r="B37" s="2">
        <v>45835</v>
      </c>
      <c r="C37" t="s">
        <v>106</v>
      </c>
      <c r="D37" t="s">
        <v>46</v>
      </c>
      <c r="E37" t="s">
        <v>23</v>
      </c>
      <c r="F37" t="s">
        <v>18</v>
      </c>
      <c r="G37" t="s">
        <v>72</v>
      </c>
      <c r="H37">
        <v>1</v>
      </c>
      <c r="I37" s="3">
        <v>900</v>
      </c>
      <c r="J37" s="3">
        <v>1500</v>
      </c>
      <c r="K37" s="3">
        <v>1500</v>
      </c>
      <c r="L37" s="3">
        <v>900</v>
      </c>
      <c r="M37" s="3">
        <v>600</v>
      </c>
      <c r="N37" s="5">
        <v>0.4</v>
      </c>
    </row>
    <row r="38" spans="1:14" x14ac:dyDescent="0.3">
      <c r="A38" t="s">
        <v>107</v>
      </c>
      <c r="B38" s="2">
        <v>45782</v>
      </c>
      <c r="C38" t="s">
        <v>108</v>
      </c>
      <c r="D38" t="s">
        <v>35</v>
      </c>
      <c r="E38" t="s">
        <v>23</v>
      </c>
      <c r="F38" t="s">
        <v>24</v>
      </c>
      <c r="G38" t="s">
        <v>29</v>
      </c>
      <c r="H38">
        <v>18</v>
      </c>
      <c r="I38" s="3">
        <v>12000</v>
      </c>
      <c r="J38" s="3">
        <v>16500</v>
      </c>
      <c r="K38" s="3">
        <v>297000</v>
      </c>
      <c r="L38" s="3">
        <v>216000</v>
      </c>
      <c r="M38" s="3">
        <v>81000</v>
      </c>
      <c r="N38" s="5">
        <v>0.27272727272727271</v>
      </c>
    </row>
    <row r="39" spans="1:14" x14ac:dyDescent="0.3">
      <c r="A39" t="s">
        <v>109</v>
      </c>
      <c r="B39" s="2">
        <v>45717</v>
      </c>
      <c r="C39" t="s">
        <v>110</v>
      </c>
      <c r="D39" t="s">
        <v>35</v>
      </c>
      <c r="E39" t="s">
        <v>36</v>
      </c>
      <c r="F39" t="s">
        <v>18</v>
      </c>
      <c r="G39" t="s">
        <v>76</v>
      </c>
      <c r="H39">
        <v>9</v>
      </c>
      <c r="I39" s="3">
        <v>2500</v>
      </c>
      <c r="J39" s="3">
        <v>3600</v>
      </c>
      <c r="K39" s="3">
        <v>32400</v>
      </c>
      <c r="L39" s="3">
        <v>22500</v>
      </c>
      <c r="M39" s="3">
        <v>9900</v>
      </c>
      <c r="N39" s="5">
        <v>0.30555555555555558</v>
      </c>
    </row>
    <row r="40" spans="1:14" x14ac:dyDescent="0.3">
      <c r="A40" t="s">
        <v>111</v>
      </c>
      <c r="B40" s="2">
        <v>45881</v>
      </c>
      <c r="C40" t="s">
        <v>112</v>
      </c>
      <c r="D40" t="s">
        <v>16</v>
      </c>
      <c r="E40" t="s">
        <v>23</v>
      </c>
      <c r="F40" t="s">
        <v>18</v>
      </c>
      <c r="G40" t="s">
        <v>60</v>
      </c>
      <c r="H40">
        <v>8</v>
      </c>
      <c r="I40" s="3">
        <v>1800</v>
      </c>
      <c r="J40" s="3">
        <v>2800</v>
      </c>
      <c r="K40" s="3">
        <v>22400</v>
      </c>
      <c r="L40" s="3">
        <v>14400</v>
      </c>
      <c r="M40" s="3">
        <v>8000</v>
      </c>
      <c r="N40" s="5">
        <v>0.35714285714285721</v>
      </c>
    </row>
    <row r="41" spans="1:14" x14ac:dyDescent="0.3">
      <c r="A41" t="s">
        <v>113</v>
      </c>
      <c r="B41" s="2">
        <v>45946</v>
      </c>
      <c r="C41" t="s">
        <v>114</v>
      </c>
      <c r="D41" t="s">
        <v>35</v>
      </c>
      <c r="E41" t="s">
        <v>36</v>
      </c>
      <c r="F41" t="s">
        <v>24</v>
      </c>
      <c r="G41" t="s">
        <v>29</v>
      </c>
      <c r="H41">
        <v>15</v>
      </c>
      <c r="I41" s="3">
        <v>12000</v>
      </c>
      <c r="J41" s="3">
        <v>16500</v>
      </c>
      <c r="K41" s="3">
        <v>247500</v>
      </c>
      <c r="L41" s="3">
        <v>180000</v>
      </c>
      <c r="M41" s="3">
        <v>67500</v>
      </c>
      <c r="N41" s="5">
        <v>0.27272727272727271</v>
      </c>
    </row>
    <row r="42" spans="1:14" x14ac:dyDescent="0.3">
      <c r="A42" t="s">
        <v>115</v>
      </c>
      <c r="B42" s="2">
        <v>45663</v>
      </c>
      <c r="C42" t="s">
        <v>116</v>
      </c>
      <c r="D42" t="s">
        <v>46</v>
      </c>
      <c r="E42" t="s">
        <v>55</v>
      </c>
      <c r="F42" t="s">
        <v>24</v>
      </c>
      <c r="G42" t="s">
        <v>29</v>
      </c>
      <c r="H42">
        <v>3</v>
      </c>
      <c r="I42" s="3">
        <v>12000</v>
      </c>
      <c r="J42" s="3">
        <v>16500</v>
      </c>
      <c r="K42" s="3">
        <v>49500</v>
      </c>
      <c r="L42" s="3">
        <v>36000</v>
      </c>
      <c r="M42" s="3">
        <v>13500</v>
      </c>
      <c r="N42" s="5">
        <v>0.27272727272727271</v>
      </c>
    </row>
    <row r="43" spans="1:14" x14ac:dyDescent="0.3">
      <c r="A43" t="s">
        <v>117</v>
      </c>
      <c r="B43" s="2">
        <v>45799</v>
      </c>
      <c r="C43" t="s">
        <v>67</v>
      </c>
      <c r="D43" t="s">
        <v>40</v>
      </c>
      <c r="E43" t="s">
        <v>28</v>
      </c>
      <c r="F43" t="s">
        <v>41</v>
      </c>
      <c r="G43" t="s">
        <v>42</v>
      </c>
      <c r="H43">
        <v>20</v>
      </c>
      <c r="I43" s="3">
        <v>8500</v>
      </c>
      <c r="J43" s="3">
        <v>12000</v>
      </c>
      <c r="K43" s="3">
        <v>240000</v>
      </c>
      <c r="L43" s="3">
        <v>170000</v>
      </c>
      <c r="M43" s="3">
        <v>70000</v>
      </c>
      <c r="N43" s="5">
        <v>0.29166666666666669</v>
      </c>
    </row>
    <row r="44" spans="1:14" x14ac:dyDescent="0.3">
      <c r="A44" t="s">
        <v>118</v>
      </c>
      <c r="B44" s="2">
        <v>45783</v>
      </c>
      <c r="C44" t="s">
        <v>119</v>
      </c>
      <c r="D44" t="s">
        <v>22</v>
      </c>
      <c r="E44" t="s">
        <v>55</v>
      </c>
      <c r="F44" t="s">
        <v>24</v>
      </c>
      <c r="G44" t="s">
        <v>63</v>
      </c>
      <c r="H44">
        <v>14</v>
      </c>
      <c r="I44" s="3">
        <v>42000</v>
      </c>
      <c r="J44" s="3">
        <v>55000</v>
      </c>
      <c r="K44" s="3">
        <v>770000</v>
      </c>
      <c r="L44" s="3">
        <v>588000</v>
      </c>
      <c r="M44" s="3">
        <v>182000</v>
      </c>
      <c r="N44" s="5">
        <v>0.23636363636363639</v>
      </c>
    </row>
    <row r="45" spans="1:14" x14ac:dyDescent="0.3">
      <c r="A45" t="s">
        <v>120</v>
      </c>
      <c r="B45" s="2">
        <v>45763</v>
      </c>
      <c r="C45" t="s">
        <v>121</v>
      </c>
      <c r="D45" t="s">
        <v>22</v>
      </c>
      <c r="E45" t="s">
        <v>17</v>
      </c>
      <c r="F45" t="s">
        <v>47</v>
      </c>
      <c r="G45" t="s">
        <v>48</v>
      </c>
      <c r="H45">
        <v>5</v>
      </c>
      <c r="I45" s="3">
        <v>2800</v>
      </c>
      <c r="J45" s="3">
        <v>4200</v>
      </c>
      <c r="K45" s="3">
        <v>21000</v>
      </c>
      <c r="L45" s="3">
        <v>14000</v>
      </c>
      <c r="M45" s="3">
        <v>7000</v>
      </c>
      <c r="N45" s="5">
        <v>0.33333333333333331</v>
      </c>
    </row>
    <row r="46" spans="1:14" x14ac:dyDescent="0.3">
      <c r="A46" t="s">
        <v>122</v>
      </c>
      <c r="B46" s="2">
        <v>45961</v>
      </c>
      <c r="C46" t="s">
        <v>123</v>
      </c>
      <c r="D46" t="s">
        <v>35</v>
      </c>
      <c r="E46" t="s">
        <v>23</v>
      </c>
      <c r="F46" t="s">
        <v>41</v>
      </c>
      <c r="G46" t="s">
        <v>42</v>
      </c>
      <c r="H46">
        <v>16</v>
      </c>
      <c r="I46" s="3">
        <v>8500</v>
      </c>
      <c r="J46" s="3">
        <v>12000</v>
      </c>
      <c r="K46" s="3">
        <v>192000</v>
      </c>
      <c r="L46" s="3">
        <v>136000</v>
      </c>
      <c r="M46" s="3">
        <v>56000</v>
      </c>
      <c r="N46" s="5">
        <v>0.29166666666666669</v>
      </c>
    </row>
    <row r="47" spans="1:14" x14ac:dyDescent="0.3">
      <c r="A47" t="s">
        <v>124</v>
      </c>
      <c r="B47" s="2">
        <v>45840</v>
      </c>
      <c r="C47" t="s">
        <v>125</v>
      </c>
      <c r="D47" t="s">
        <v>22</v>
      </c>
      <c r="E47" t="s">
        <v>36</v>
      </c>
      <c r="F47" t="s">
        <v>47</v>
      </c>
      <c r="G47" t="s">
        <v>48</v>
      </c>
      <c r="H47">
        <v>11</v>
      </c>
      <c r="I47" s="3">
        <v>2800</v>
      </c>
      <c r="J47" s="3">
        <v>4200</v>
      </c>
      <c r="K47" s="3">
        <v>46200</v>
      </c>
      <c r="L47" s="3">
        <v>30800</v>
      </c>
      <c r="M47" s="3">
        <v>15400</v>
      </c>
      <c r="N47" s="5">
        <v>0.33333333333333331</v>
      </c>
    </row>
    <row r="48" spans="1:14" x14ac:dyDescent="0.3">
      <c r="A48" t="s">
        <v>126</v>
      </c>
      <c r="B48" s="2">
        <v>45938</v>
      </c>
      <c r="C48" t="s">
        <v>87</v>
      </c>
      <c r="D48" t="s">
        <v>22</v>
      </c>
      <c r="E48" t="s">
        <v>23</v>
      </c>
      <c r="F48" t="s">
        <v>47</v>
      </c>
      <c r="G48" t="s">
        <v>48</v>
      </c>
      <c r="H48">
        <v>5</v>
      </c>
      <c r="I48" s="3">
        <v>2800</v>
      </c>
      <c r="J48" s="3">
        <v>4200</v>
      </c>
      <c r="K48" s="3">
        <v>21000</v>
      </c>
      <c r="L48" s="3">
        <v>14000</v>
      </c>
      <c r="M48" s="3">
        <v>7000</v>
      </c>
      <c r="N48" s="5">
        <v>0.33333333333333331</v>
      </c>
    </row>
    <row r="49" spans="1:14" x14ac:dyDescent="0.3">
      <c r="A49" t="s">
        <v>127</v>
      </c>
      <c r="B49" s="2">
        <v>45826</v>
      </c>
      <c r="C49" t="s">
        <v>128</v>
      </c>
      <c r="D49" t="s">
        <v>46</v>
      </c>
      <c r="E49" t="s">
        <v>28</v>
      </c>
      <c r="F49" t="s">
        <v>18</v>
      </c>
      <c r="G49" t="s">
        <v>60</v>
      </c>
      <c r="H49">
        <v>15</v>
      </c>
      <c r="I49" s="3">
        <v>1800</v>
      </c>
      <c r="J49" s="3">
        <v>2800</v>
      </c>
      <c r="K49" s="3">
        <v>42000</v>
      </c>
      <c r="L49" s="3">
        <v>27000</v>
      </c>
      <c r="M49" s="3">
        <v>15000</v>
      </c>
      <c r="N49" s="5">
        <v>0.35714285714285721</v>
      </c>
    </row>
    <row r="50" spans="1:14" x14ac:dyDescent="0.3">
      <c r="A50" t="s">
        <v>129</v>
      </c>
      <c r="B50" s="2">
        <v>45991</v>
      </c>
      <c r="C50" t="s">
        <v>83</v>
      </c>
      <c r="D50" t="s">
        <v>46</v>
      </c>
      <c r="E50" t="s">
        <v>23</v>
      </c>
      <c r="F50" t="s">
        <v>41</v>
      </c>
      <c r="G50" t="s">
        <v>42</v>
      </c>
      <c r="H50">
        <v>10</v>
      </c>
      <c r="I50" s="3">
        <v>8500</v>
      </c>
      <c r="J50" s="3">
        <v>12000</v>
      </c>
      <c r="K50" s="3">
        <v>120000</v>
      </c>
      <c r="L50" s="3">
        <v>85000</v>
      </c>
      <c r="M50" s="3">
        <v>35000</v>
      </c>
      <c r="N50" s="5">
        <v>0.29166666666666669</v>
      </c>
    </row>
    <row r="51" spans="1:14" x14ac:dyDescent="0.3">
      <c r="A51" t="s">
        <v>130</v>
      </c>
      <c r="B51" s="2">
        <v>45778</v>
      </c>
      <c r="C51" t="s">
        <v>131</v>
      </c>
      <c r="D51" t="s">
        <v>22</v>
      </c>
      <c r="E51" t="s">
        <v>32</v>
      </c>
      <c r="F51" t="s">
        <v>18</v>
      </c>
      <c r="G51" t="s">
        <v>76</v>
      </c>
      <c r="H51">
        <v>2</v>
      </c>
      <c r="I51" s="3">
        <v>2500</v>
      </c>
      <c r="J51" s="3">
        <v>3600</v>
      </c>
      <c r="K51" s="3">
        <v>7200</v>
      </c>
      <c r="L51" s="3">
        <v>5000</v>
      </c>
      <c r="M51" s="3">
        <v>2200</v>
      </c>
      <c r="N51" s="5">
        <v>0.30555555555555558</v>
      </c>
    </row>
    <row r="52" spans="1:14" x14ac:dyDescent="0.3">
      <c r="A52" t="s">
        <v>132</v>
      </c>
      <c r="B52" s="2">
        <v>45761</v>
      </c>
      <c r="C52" t="s">
        <v>133</v>
      </c>
      <c r="D52" t="s">
        <v>46</v>
      </c>
      <c r="E52" t="s">
        <v>23</v>
      </c>
      <c r="F52" t="s">
        <v>18</v>
      </c>
      <c r="G52" t="s">
        <v>60</v>
      </c>
      <c r="H52">
        <v>3</v>
      </c>
      <c r="I52" s="3">
        <v>1800</v>
      </c>
      <c r="J52" s="3">
        <v>2800</v>
      </c>
      <c r="K52" s="3">
        <v>8400</v>
      </c>
      <c r="L52" s="3">
        <v>5400</v>
      </c>
      <c r="M52" s="3">
        <v>3000</v>
      </c>
      <c r="N52" s="5">
        <v>0.35714285714285721</v>
      </c>
    </row>
    <row r="53" spans="1:14" x14ac:dyDescent="0.3">
      <c r="A53" t="s">
        <v>134</v>
      </c>
      <c r="B53" s="2">
        <v>45722</v>
      </c>
      <c r="C53" t="s">
        <v>65</v>
      </c>
      <c r="D53" t="s">
        <v>16</v>
      </c>
      <c r="E53" t="s">
        <v>55</v>
      </c>
      <c r="F53" t="s">
        <v>18</v>
      </c>
      <c r="G53" t="s">
        <v>37</v>
      </c>
      <c r="H53">
        <v>7</v>
      </c>
      <c r="I53" s="3">
        <v>400</v>
      </c>
      <c r="J53" s="3">
        <v>650</v>
      </c>
      <c r="K53" s="3">
        <v>4550</v>
      </c>
      <c r="L53" s="3">
        <v>2800</v>
      </c>
      <c r="M53" s="3">
        <v>1750</v>
      </c>
      <c r="N53" s="5">
        <v>0.38461538461538458</v>
      </c>
    </row>
    <row r="54" spans="1:14" x14ac:dyDescent="0.3">
      <c r="A54" t="s">
        <v>135</v>
      </c>
      <c r="B54" s="2">
        <v>45923</v>
      </c>
      <c r="C54" t="s">
        <v>136</v>
      </c>
      <c r="D54" t="s">
        <v>16</v>
      </c>
      <c r="E54" t="s">
        <v>17</v>
      </c>
      <c r="F54" t="s">
        <v>47</v>
      </c>
      <c r="G54" t="s">
        <v>48</v>
      </c>
      <c r="H54">
        <v>15</v>
      </c>
      <c r="I54" s="3">
        <v>2800</v>
      </c>
      <c r="J54" s="3">
        <v>4200</v>
      </c>
      <c r="K54" s="3">
        <v>63000</v>
      </c>
      <c r="L54" s="3">
        <v>42000</v>
      </c>
      <c r="M54" s="3">
        <v>21000</v>
      </c>
      <c r="N54" s="5">
        <v>0.33333333333333331</v>
      </c>
    </row>
    <row r="55" spans="1:14" x14ac:dyDescent="0.3">
      <c r="A55" t="s">
        <v>137</v>
      </c>
      <c r="B55" s="2">
        <v>45710</v>
      </c>
      <c r="C55" t="s">
        <v>138</v>
      </c>
      <c r="D55" t="s">
        <v>40</v>
      </c>
      <c r="E55" t="s">
        <v>55</v>
      </c>
      <c r="F55" t="s">
        <v>18</v>
      </c>
      <c r="G55" t="s">
        <v>37</v>
      </c>
      <c r="H55">
        <v>17</v>
      </c>
      <c r="I55" s="3">
        <v>400</v>
      </c>
      <c r="J55" s="3">
        <v>650</v>
      </c>
      <c r="K55" s="3">
        <v>11050</v>
      </c>
      <c r="L55" s="3">
        <v>6800</v>
      </c>
      <c r="M55" s="3">
        <v>4250</v>
      </c>
      <c r="N55" s="5">
        <v>0.38461538461538458</v>
      </c>
    </row>
    <row r="56" spans="1:14" x14ac:dyDescent="0.3">
      <c r="A56" t="s">
        <v>139</v>
      </c>
      <c r="B56" s="2">
        <v>45809</v>
      </c>
      <c r="C56" t="s">
        <v>140</v>
      </c>
      <c r="D56" t="s">
        <v>16</v>
      </c>
      <c r="E56" t="s">
        <v>55</v>
      </c>
      <c r="F56" t="s">
        <v>41</v>
      </c>
      <c r="G56" t="s">
        <v>42</v>
      </c>
      <c r="H56">
        <v>18</v>
      </c>
      <c r="I56" s="3">
        <v>8500</v>
      </c>
      <c r="J56" s="3">
        <v>12000</v>
      </c>
      <c r="K56" s="3">
        <v>216000</v>
      </c>
      <c r="L56" s="3">
        <v>153000</v>
      </c>
      <c r="M56" s="3">
        <v>63000</v>
      </c>
      <c r="N56" s="5">
        <v>0.29166666666666669</v>
      </c>
    </row>
    <row r="57" spans="1:14" x14ac:dyDescent="0.3">
      <c r="A57" t="s">
        <v>141</v>
      </c>
      <c r="B57" s="2">
        <v>45935</v>
      </c>
      <c r="C57" t="s">
        <v>142</v>
      </c>
      <c r="D57" t="s">
        <v>46</v>
      </c>
      <c r="E57" t="s">
        <v>23</v>
      </c>
      <c r="F57" t="s">
        <v>18</v>
      </c>
      <c r="G57" t="s">
        <v>76</v>
      </c>
      <c r="H57">
        <v>12</v>
      </c>
      <c r="I57" s="3">
        <v>2500</v>
      </c>
      <c r="J57" s="3">
        <v>3600</v>
      </c>
      <c r="K57" s="3">
        <v>43200</v>
      </c>
      <c r="L57" s="3">
        <v>30000</v>
      </c>
      <c r="M57" s="3">
        <v>13200</v>
      </c>
      <c r="N57" s="5">
        <v>0.30555555555555558</v>
      </c>
    </row>
    <row r="58" spans="1:14" x14ac:dyDescent="0.3">
      <c r="A58" t="s">
        <v>143</v>
      </c>
      <c r="B58" s="2">
        <v>45690</v>
      </c>
      <c r="C58" t="s">
        <v>144</v>
      </c>
      <c r="D58" t="s">
        <v>46</v>
      </c>
      <c r="E58" t="s">
        <v>55</v>
      </c>
      <c r="F58" t="s">
        <v>18</v>
      </c>
      <c r="G58" t="s">
        <v>19</v>
      </c>
      <c r="H58">
        <v>12</v>
      </c>
      <c r="I58" s="3">
        <v>1800</v>
      </c>
      <c r="J58" s="3">
        <v>2600</v>
      </c>
      <c r="K58" s="3">
        <v>31200</v>
      </c>
      <c r="L58" s="3">
        <v>21600</v>
      </c>
      <c r="M58" s="3">
        <v>9600</v>
      </c>
      <c r="N58" s="5">
        <v>0.30769230769230771</v>
      </c>
    </row>
    <row r="59" spans="1:14" x14ac:dyDescent="0.3">
      <c r="A59" t="s">
        <v>145</v>
      </c>
      <c r="B59" s="2">
        <v>45784</v>
      </c>
      <c r="C59" t="s">
        <v>146</v>
      </c>
      <c r="D59" t="s">
        <v>46</v>
      </c>
      <c r="E59" t="s">
        <v>28</v>
      </c>
      <c r="F59" t="s">
        <v>18</v>
      </c>
      <c r="G59" t="s">
        <v>76</v>
      </c>
      <c r="H59">
        <v>15</v>
      </c>
      <c r="I59" s="3">
        <v>2500</v>
      </c>
      <c r="J59" s="3">
        <v>3600</v>
      </c>
      <c r="K59" s="3">
        <v>54000</v>
      </c>
      <c r="L59" s="3">
        <v>37500</v>
      </c>
      <c r="M59" s="3">
        <v>16500</v>
      </c>
      <c r="N59" s="5">
        <v>0.30555555555555558</v>
      </c>
    </row>
    <row r="60" spans="1:14" x14ac:dyDescent="0.3">
      <c r="A60" t="s">
        <v>147</v>
      </c>
      <c r="B60" s="2">
        <v>45672</v>
      </c>
      <c r="C60" t="s">
        <v>83</v>
      </c>
      <c r="D60" t="s">
        <v>16</v>
      </c>
      <c r="E60" t="s">
        <v>28</v>
      </c>
      <c r="F60" t="s">
        <v>18</v>
      </c>
      <c r="G60" t="s">
        <v>76</v>
      </c>
      <c r="H60">
        <v>15</v>
      </c>
      <c r="I60" s="3">
        <v>2500</v>
      </c>
      <c r="J60" s="3">
        <v>3600</v>
      </c>
      <c r="K60" s="3">
        <v>54000</v>
      </c>
      <c r="L60" s="3">
        <v>37500</v>
      </c>
      <c r="M60" s="3">
        <v>16500</v>
      </c>
      <c r="N60" s="5">
        <v>0.30555555555555558</v>
      </c>
    </row>
    <row r="61" spans="1:14" x14ac:dyDescent="0.3">
      <c r="A61" t="s">
        <v>148</v>
      </c>
      <c r="B61" s="2">
        <v>45782</v>
      </c>
      <c r="C61" t="s">
        <v>149</v>
      </c>
      <c r="D61" t="s">
        <v>35</v>
      </c>
      <c r="E61" t="s">
        <v>17</v>
      </c>
      <c r="F61" t="s">
        <v>18</v>
      </c>
      <c r="G61" t="s">
        <v>19</v>
      </c>
      <c r="H61">
        <v>14</v>
      </c>
      <c r="I61" s="3">
        <v>1800</v>
      </c>
      <c r="J61" s="3">
        <v>2600</v>
      </c>
      <c r="K61" s="3">
        <v>36400</v>
      </c>
      <c r="L61" s="3">
        <v>25200</v>
      </c>
      <c r="M61" s="3">
        <v>11200</v>
      </c>
      <c r="N61" s="5">
        <v>0.30769230769230771</v>
      </c>
    </row>
    <row r="62" spans="1:14" x14ac:dyDescent="0.3">
      <c r="A62" t="s">
        <v>150</v>
      </c>
      <c r="B62" s="2">
        <v>46005</v>
      </c>
      <c r="C62" t="s">
        <v>151</v>
      </c>
      <c r="D62" t="s">
        <v>22</v>
      </c>
      <c r="E62" t="s">
        <v>36</v>
      </c>
      <c r="F62" t="s">
        <v>18</v>
      </c>
      <c r="G62" t="s">
        <v>72</v>
      </c>
      <c r="H62">
        <v>19</v>
      </c>
      <c r="I62" s="3">
        <v>900</v>
      </c>
      <c r="J62" s="3">
        <v>1500</v>
      </c>
      <c r="K62" s="3">
        <v>28500</v>
      </c>
      <c r="L62" s="3">
        <v>17100</v>
      </c>
      <c r="M62" s="3">
        <v>11400</v>
      </c>
      <c r="N62" s="5">
        <v>0.4</v>
      </c>
    </row>
    <row r="63" spans="1:14" x14ac:dyDescent="0.3">
      <c r="A63" t="s">
        <v>152</v>
      </c>
      <c r="B63" s="2">
        <v>45895</v>
      </c>
      <c r="C63" t="s">
        <v>112</v>
      </c>
      <c r="D63" t="s">
        <v>40</v>
      </c>
      <c r="E63" t="s">
        <v>32</v>
      </c>
      <c r="F63" t="s">
        <v>41</v>
      </c>
      <c r="G63" t="s">
        <v>42</v>
      </c>
      <c r="H63">
        <v>3</v>
      </c>
      <c r="I63" s="3">
        <v>8500</v>
      </c>
      <c r="J63" s="3">
        <v>12000</v>
      </c>
      <c r="K63" s="3">
        <v>36000</v>
      </c>
      <c r="L63" s="3">
        <v>25500</v>
      </c>
      <c r="M63" s="3">
        <v>10500</v>
      </c>
      <c r="N63" s="5">
        <v>0.29166666666666669</v>
      </c>
    </row>
    <row r="64" spans="1:14" x14ac:dyDescent="0.3">
      <c r="A64" t="s">
        <v>153</v>
      </c>
      <c r="B64" s="2">
        <v>45713</v>
      </c>
      <c r="C64" t="s">
        <v>154</v>
      </c>
      <c r="D64" t="s">
        <v>22</v>
      </c>
      <c r="E64" t="s">
        <v>36</v>
      </c>
      <c r="F64" t="s">
        <v>47</v>
      </c>
      <c r="G64" t="s">
        <v>48</v>
      </c>
      <c r="H64">
        <v>15</v>
      </c>
      <c r="I64" s="3">
        <v>2800</v>
      </c>
      <c r="J64" s="3">
        <v>4200</v>
      </c>
      <c r="K64" s="3">
        <v>63000</v>
      </c>
      <c r="L64" s="3">
        <v>42000</v>
      </c>
      <c r="M64" s="3">
        <v>21000</v>
      </c>
      <c r="N64" s="5">
        <v>0.33333333333333331</v>
      </c>
    </row>
    <row r="65" spans="1:14" x14ac:dyDescent="0.3">
      <c r="A65" t="s">
        <v>155</v>
      </c>
      <c r="B65" s="2">
        <v>46022</v>
      </c>
      <c r="C65" t="s">
        <v>156</v>
      </c>
      <c r="D65" t="s">
        <v>46</v>
      </c>
      <c r="E65" t="s">
        <v>32</v>
      </c>
      <c r="F65" t="s">
        <v>18</v>
      </c>
      <c r="G65" t="s">
        <v>19</v>
      </c>
      <c r="H65">
        <v>10</v>
      </c>
      <c r="I65" s="3">
        <v>1800</v>
      </c>
      <c r="J65" s="3">
        <v>2600</v>
      </c>
      <c r="K65" s="3">
        <v>26000</v>
      </c>
      <c r="L65" s="3">
        <v>18000</v>
      </c>
      <c r="M65" s="3">
        <v>8000</v>
      </c>
      <c r="N65" s="5">
        <v>0.30769230769230771</v>
      </c>
    </row>
    <row r="66" spans="1:14" x14ac:dyDescent="0.3">
      <c r="A66" t="s">
        <v>157</v>
      </c>
      <c r="B66" s="2">
        <v>45780</v>
      </c>
      <c r="C66" t="s">
        <v>69</v>
      </c>
      <c r="D66" t="s">
        <v>22</v>
      </c>
      <c r="E66" t="s">
        <v>32</v>
      </c>
      <c r="F66" t="s">
        <v>41</v>
      </c>
      <c r="G66" t="s">
        <v>42</v>
      </c>
      <c r="H66">
        <v>17</v>
      </c>
      <c r="I66" s="3">
        <v>8500</v>
      </c>
      <c r="J66" s="3">
        <v>12000</v>
      </c>
      <c r="K66" s="3">
        <v>204000</v>
      </c>
      <c r="L66" s="3">
        <v>144500</v>
      </c>
      <c r="M66" s="3">
        <v>59500</v>
      </c>
      <c r="N66" s="5">
        <v>0.29166666666666669</v>
      </c>
    </row>
    <row r="67" spans="1:14" x14ac:dyDescent="0.3">
      <c r="A67" t="s">
        <v>158</v>
      </c>
      <c r="B67" s="2">
        <v>45984</v>
      </c>
      <c r="C67" t="s">
        <v>159</v>
      </c>
      <c r="D67" t="s">
        <v>22</v>
      </c>
      <c r="E67" t="s">
        <v>17</v>
      </c>
      <c r="F67" t="s">
        <v>18</v>
      </c>
      <c r="G67" t="s">
        <v>60</v>
      </c>
      <c r="H67">
        <v>2</v>
      </c>
      <c r="I67" s="3">
        <v>1800</v>
      </c>
      <c r="J67" s="3">
        <v>2800</v>
      </c>
      <c r="K67" s="3">
        <v>5600</v>
      </c>
      <c r="L67" s="3">
        <v>3600</v>
      </c>
      <c r="M67" s="3">
        <v>2000</v>
      </c>
      <c r="N67" s="5">
        <v>0.35714285714285721</v>
      </c>
    </row>
    <row r="68" spans="1:14" x14ac:dyDescent="0.3">
      <c r="A68" t="s">
        <v>160</v>
      </c>
      <c r="B68" s="2">
        <v>45795</v>
      </c>
      <c r="C68" t="s">
        <v>161</v>
      </c>
      <c r="D68" t="s">
        <v>46</v>
      </c>
      <c r="E68" t="s">
        <v>36</v>
      </c>
      <c r="F68" t="s">
        <v>24</v>
      </c>
      <c r="G68" t="s">
        <v>63</v>
      </c>
      <c r="H68">
        <v>11</v>
      </c>
      <c r="I68" s="3">
        <v>42000</v>
      </c>
      <c r="J68" s="3">
        <v>55000</v>
      </c>
      <c r="K68" s="3">
        <v>605000</v>
      </c>
      <c r="L68" s="3">
        <v>462000</v>
      </c>
      <c r="M68" s="3">
        <v>143000</v>
      </c>
      <c r="N68" s="5">
        <v>0.23636363636363639</v>
      </c>
    </row>
    <row r="69" spans="1:14" x14ac:dyDescent="0.3">
      <c r="A69" t="s">
        <v>162</v>
      </c>
      <c r="B69" s="2">
        <v>45691</v>
      </c>
      <c r="C69" t="s">
        <v>44</v>
      </c>
      <c r="D69" t="s">
        <v>46</v>
      </c>
      <c r="E69" t="s">
        <v>32</v>
      </c>
      <c r="F69" t="s">
        <v>24</v>
      </c>
      <c r="G69" t="s">
        <v>29</v>
      </c>
      <c r="H69">
        <v>16</v>
      </c>
      <c r="I69" s="3">
        <v>12000</v>
      </c>
      <c r="J69" s="3">
        <v>16500</v>
      </c>
      <c r="K69" s="3">
        <v>264000</v>
      </c>
      <c r="L69" s="3">
        <v>192000</v>
      </c>
      <c r="M69" s="3">
        <v>72000</v>
      </c>
      <c r="N69" s="5">
        <v>0.27272727272727271</v>
      </c>
    </row>
    <row r="70" spans="1:14" x14ac:dyDescent="0.3">
      <c r="A70" t="s">
        <v>163</v>
      </c>
      <c r="B70" s="2">
        <v>45914</v>
      </c>
      <c r="C70" t="s">
        <v>151</v>
      </c>
      <c r="D70" t="s">
        <v>22</v>
      </c>
      <c r="E70" t="s">
        <v>32</v>
      </c>
      <c r="F70" t="s">
        <v>18</v>
      </c>
      <c r="G70" t="s">
        <v>19</v>
      </c>
      <c r="H70">
        <v>15</v>
      </c>
      <c r="I70" s="3">
        <v>1800</v>
      </c>
      <c r="J70" s="3">
        <v>2600</v>
      </c>
      <c r="K70" s="3">
        <v>39000</v>
      </c>
      <c r="L70" s="3">
        <v>27000</v>
      </c>
      <c r="M70" s="3">
        <v>12000</v>
      </c>
      <c r="N70" s="5">
        <v>0.30769230769230771</v>
      </c>
    </row>
    <row r="71" spans="1:14" x14ac:dyDescent="0.3">
      <c r="A71" t="s">
        <v>164</v>
      </c>
      <c r="B71" s="2">
        <v>45712</v>
      </c>
      <c r="C71" t="s">
        <v>165</v>
      </c>
      <c r="D71" t="s">
        <v>16</v>
      </c>
      <c r="E71" t="s">
        <v>32</v>
      </c>
      <c r="F71" t="s">
        <v>18</v>
      </c>
      <c r="G71" t="s">
        <v>76</v>
      </c>
      <c r="H71">
        <v>17</v>
      </c>
      <c r="I71" s="3">
        <v>2500</v>
      </c>
      <c r="J71" s="3">
        <v>3600</v>
      </c>
      <c r="K71" s="3">
        <v>61200</v>
      </c>
      <c r="L71" s="3">
        <v>42500</v>
      </c>
      <c r="M71" s="3">
        <v>18700</v>
      </c>
      <c r="N71" s="5">
        <v>0.30555555555555558</v>
      </c>
    </row>
    <row r="72" spans="1:14" x14ac:dyDescent="0.3">
      <c r="A72" t="s">
        <v>166</v>
      </c>
      <c r="B72" s="2">
        <v>45962</v>
      </c>
      <c r="C72" t="s">
        <v>108</v>
      </c>
      <c r="D72" t="s">
        <v>35</v>
      </c>
      <c r="E72" t="s">
        <v>23</v>
      </c>
      <c r="F72" t="s">
        <v>18</v>
      </c>
      <c r="G72" t="s">
        <v>60</v>
      </c>
      <c r="H72">
        <v>18</v>
      </c>
      <c r="I72" s="3">
        <v>1800</v>
      </c>
      <c r="J72" s="3">
        <v>2800</v>
      </c>
      <c r="K72" s="3">
        <v>50400</v>
      </c>
      <c r="L72" s="3">
        <v>32400</v>
      </c>
      <c r="M72" s="3">
        <v>18000</v>
      </c>
      <c r="N72" s="5">
        <v>0.35714285714285721</v>
      </c>
    </row>
    <row r="73" spans="1:14" x14ac:dyDescent="0.3">
      <c r="A73" t="s">
        <v>167</v>
      </c>
      <c r="B73" s="2">
        <v>45816</v>
      </c>
      <c r="C73" t="s">
        <v>168</v>
      </c>
      <c r="D73" t="s">
        <v>22</v>
      </c>
      <c r="E73" t="s">
        <v>32</v>
      </c>
      <c r="F73" t="s">
        <v>18</v>
      </c>
      <c r="G73" t="s">
        <v>37</v>
      </c>
      <c r="H73">
        <v>12</v>
      </c>
      <c r="I73" s="3">
        <v>400</v>
      </c>
      <c r="J73" s="3">
        <v>650</v>
      </c>
      <c r="K73" s="3">
        <v>7800</v>
      </c>
      <c r="L73" s="3">
        <v>4800</v>
      </c>
      <c r="M73" s="3">
        <v>3000</v>
      </c>
      <c r="N73" s="5">
        <v>0.38461538461538458</v>
      </c>
    </row>
    <row r="74" spans="1:14" x14ac:dyDescent="0.3">
      <c r="A74" t="s">
        <v>169</v>
      </c>
      <c r="B74" s="2">
        <v>45758</v>
      </c>
      <c r="C74" t="s">
        <v>165</v>
      </c>
      <c r="D74" t="s">
        <v>22</v>
      </c>
      <c r="E74" t="s">
        <v>32</v>
      </c>
      <c r="F74" t="s">
        <v>24</v>
      </c>
      <c r="G74" t="s">
        <v>63</v>
      </c>
      <c r="H74">
        <v>11</v>
      </c>
      <c r="I74" s="3">
        <v>42000</v>
      </c>
      <c r="J74" s="3">
        <v>55000</v>
      </c>
      <c r="K74" s="3">
        <v>605000</v>
      </c>
      <c r="L74" s="3">
        <v>462000</v>
      </c>
      <c r="M74" s="3">
        <v>143000</v>
      </c>
      <c r="N74" s="5">
        <v>0.23636363636363639</v>
      </c>
    </row>
    <row r="75" spans="1:14" x14ac:dyDescent="0.3">
      <c r="A75" t="s">
        <v>170</v>
      </c>
      <c r="B75" s="2">
        <v>45947</v>
      </c>
      <c r="C75" t="s">
        <v>31</v>
      </c>
      <c r="D75" t="s">
        <v>22</v>
      </c>
      <c r="E75" t="s">
        <v>28</v>
      </c>
      <c r="F75" t="s">
        <v>24</v>
      </c>
      <c r="G75" t="s">
        <v>29</v>
      </c>
      <c r="H75">
        <v>18</v>
      </c>
      <c r="I75" s="3">
        <v>12000</v>
      </c>
      <c r="J75" s="3">
        <v>16500</v>
      </c>
      <c r="K75" s="3">
        <v>297000</v>
      </c>
      <c r="L75" s="3">
        <v>216000</v>
      </c>
      <c r="M75" s="3">
        <v>81000</v>
      </c>
      <c r="N75" s="5">
        <v>0.27272727272727271</v>
      </c>
    </row>
    <row r="76" spans="1:14" x14ac:dyDescent="0.3">
      <c r="A76" t="s">
        <v>171</v>
      </c>
      <c r="B76" s="2">
        <v>45662</v>
      </c>
      <c r="C76" t="s">
        <v>172</v>
      </c>
      <c r="D76" t="s">
        <v>40</v>
      </c>
      <c r="E76" t="s">
        <v>28</v>
      </c>
      <c r="F76" t="s">
        <v>18</v>
      </c>
      <c r="G76" t="s">
        <v>72</v>
      </c>
      <c r="H76">
        <v>16</v>
      </c>
      <c r="I76" s="3">
        <v>900</v>
      </c>
      <c r="J76" s="3">
        <v>1500</v>
      </c>
      <c r="K76" s="3">
        <v>24000</v>
      </c>
      <c r="L76" s="3">
        <v>14400</v>
      </c>
      <c r="M76" s="3">
        <v>9600</v>
      </c>
      <c r="N76" s="5">
        <v>0.4</v>
      </c>
    </row>
    <row r="77" spans="1:14" x14ac:dyDescent="0.3">
      <c r="A77" t="s">
        <v>173</v>
      </c>
      <c r="B77" s="2">
        <v>45810</v>
      </c>
      <c r="C77" t="s">
        <v>108</v>
      </c>
      <c r="D77" t="s">
        <v>46</v>
      </c>
      <c r="E77" t="s">
        <v>17</v>
      </c>
      <c r="F77" t="s">
        <v>18</v>
      </c>
      <c r="G77" t="s">
        <v>60</v>
      </c>
      <c r="H77">
        <v>9</v>
      </c>
      <c r="I77" s="3">
        <v>1800</v>
      </c>
      <c r="J77" s="3">
        <v>2800</v>
      </c>
      <c r="K77" s="3">
        <v>25200</v>
      </c>
      <c r="L77" s="3">
        <v>16200</v>
      </c>
      <c r="M77" s="3">
        <v>9000</v>
      </c>
      <c r="N77" s="5">
        <v>0.35714285714285721</v>
      </c>
    </row>
    <row r="78" spans="1:14" x14ac:dyDescent="0.3">
      <c r="A78" t="s">
        <v>174</v>
      </c>
      <c r="B78" s="2">
        <v>45856</v>
      </c>
      <c r="C78" t="s">
        <v>175</v>
      </c>
      <c r="D78" t="s">
        <v>22</v>
      </c>
      <c r="E78" t="s">
        <v>32</v>
      </c>
      <c r="F78" t="s">
        <v>18</v>
      </c>
      <c r="G78" t="s">
        <v>72</v>
      </c>
      <c r="H78">
        <v>6</v>
      </c>
      <c r="I78" s="3">
        <v>900</v>
      </c>
      <c r="J78" s="3">
        <v>1500</v>
      </c>
      <c r="K78" s="3">
        <v>9000</v>
      </c>
      <c r="L78" s="3">
        <v>5400</v>
      </c>
      <c r="M78" s="3">
        <v>3600</v>
      </c>
      <c r="N78" s="5">
        <v>0.4</v>
      </c>
    </row>
    <row r="79" spans="1:14" x14ac:dyDescent="0.3">
      <c r="A79" t="s">
        <v>176</v>
      </c>
      <c r="B79" s="2">
        <v>45982</v>
      </c>
      <c r="C79" t="s">
        <v>138</v>
      </c>
      <c r="D79" t="s">
        <v>35</v>
      </c>
      <c r="E79" t="s">
        <v>32</v>
      </c>
      <c r="F79" t="s">
        <v>18</v>
      </c>
      <c r="G79" t="s">
        <v>76</v>
      </c>
      <c r="H79">
        <v>1</v>
      </c>
      <c r="I79" s="3">
        <v>2500</v>
      </c>
      <c r="J79" s="3">
        <v>3600</v>
      </c>
      <c r="K79" s="3">
        <v>3600</v>
      </c>
      <c r="L79" s="3">
        <v>2500</v>
      </c>
      <c r="M79" s="3">
        <v>1100</v>
      </c>
      <c r="N79" s="5">
        <v>0.30555555555555558</v>
      </c>
    </row>
    <row r="80" spans="1:14" x14ac:dyDescent="0.3">
      <c r="A80" t="s">
        <v>177</v>
      </c>
      <c r="B80" s="2">
        <v>45807</v>
      </c>
      <c r="C80" t="s">
        <v>178</v>
      </c>
      <c r="D80" t="s">
        <v>35</v>
      </c>
      <c r="E80" t="s">
        <v>32</v>
      </c>
      <c r="F80" t="s">
        <v>18</v>
      </c>
      <c r="G80" t="s">
        <v>76</v>
      </c>
      <c r="H80">
        <v>6</v>
      </c>
      <c r="I80" s="3">
        <v>2500</v>
      </c>
      <c r="J80" s="3">
        <v>3600</v>
      </c>
      <c r="K80" s="3">
        <v>21600</v>
      </c>
      <c r="L80" s="3">
        <v>15000</v>
      </c>
      <c r="M80" s="3">
        <v>6600</v>
      </c>
      <c r="N80" s="5">
        <v>0.30555555555555558</v>
      </c>
    </row>
    <row r="81" spans="1:14" x14ac:dyDescent="0.3">
      <c r="A81" t="s">
        <v>179</v>
      </c>
      <c r="B81" s="2">
        <v>45823</v>
      </c>
      <c r="C81" t="s">
        <v>180</v>
      </c>
      <c r="D81" t="s">
        <v>46</v>
      </c>
      <c r="E81" t="s">
        <v>23</v>
      </c>
      <c r="F81" t="s">
        <v>18</v>
      </c>
      <c r="G81" t="s">
        <v>72</v>
      </c>
      <c r="H81">
        <v>8</v>
      </c>
      <c r="I81" s="3">
        <v>900</v>
      </c>
      <c r="J81" s="3">
        <v>1500</v>
      </c>
      <c r="K81" s="3">
        <v>12000</v>
      </c>
      <c r="L81" s="3">
        <v>7200</v>
      </c>
      <c r="M81" s="3">
        <v>4800</v>
      </c>
      <c r="N81" s="5">
        <v>0.4</v>
      </c>
    </row>
    <row r="82" spans="1:14" x14ac:dyDescent="0.3">
      <c r="A82" t="s">
        <v>181</v>
      </c>
      <c r="B82" s="2">
        <v>45869</v>
      </c>
      <c r="C82" t="s">
        <v>182</v>
      </c>
      <c r="D82" t="s">
        <v>40</v>
      </c>
      <c r="E82" t="s">
        <v>23</v>
      </c>
      <c r="F82" t="s">
        <v>18</v>
      </c>
      <c r="G82" t="s">
        <v>72</v>
      </c>
      <c r="H82">
        <v>6</v>
      </c>
      <c r="I82" s="3">
        <v>900</v>
      </c>
      <c r="J82" s="3">
        <v>1500</v>
      </c>
      <c r="K82" s="3">
        <v>9000</v>
      </c>
      <c r="L82" s="3">
        <v>5400</v>
      </c>
      <c r="M82" s="3">
        <v>3600</v>
      </c>
      <c r="N82" s="5">
        <v>0.4</v>
      </c>
    </row>
    <row r="83" spans="1:14" x14ac:dyDescent="0.3">
      <c r="A83" t="s">
        <v>183</v>
      </c>
      <c r="B83" s="2">
        <v>46004</v>
      </c>
      <c r="C83" t="s">
        <v>121</v>
      </c>
      <c r="D83" t="s">
        <v>16</v>
      </c>
      <c r="E83" t="s">
        <v>17</v>
      </c>
      <c r="F83" t="s">
        <v>24</v>
      </c>
      <c r="G83" t="s">
        <v>29</v>
      </c>
      <c r="H83">
        <v>1</v>
      </c>
      <c r="I83" s="3">
        <v>12000</v>
      </c>
      <c r="J83" s="3">
        <v>16500</v>
      </c>
      <c r="K83" s="3">
        <v>16500</v>
      </c>
      <c r="L83" s="3">
        <v>12000</v>
      </c>
      <c r="M83" s="3">
        <v>4500</v>
      </c>
      <c r="N83" s="5">
        <v>0.27272727272727271</v>
      </c>
    </row>
    <row r="84" spans="1:14" x14ac:dyDescent="0.3">
      <c r="A84" t="s">
        <v>184</v>
      </c>
      <c r="B84" s="2">
        <v>45991</v>
      </c>
      <c r="C84" t="s">
        <v>182</v>
      </c>
      <c r="D84" t="s">
        <v>35</v>
      </c>
      <c r="E84" t="s">
        <v>17</v>
      </c>
      <c r="F84" t="s">
        <v>47</v>
      </c>
      <c r="G84" t="s">
        <v>48</v>
      </c>
      <c r="H84">
        <v>19</v>
      </c>
      <c r="I84" s="3">
        <v>2800</v>
      </c>
      <c r="J84" s="3">
        <v>4200</v>
      </c>
      <c r="K84" s="3">
        <v>79800</v>
      </c>
      <c r="L84" s="3">
        <v>53200</v>
      </c>
      <c r="M84" s="3">
        <v>26600</v>
      </c>
      <c r="N84" s="5">
        <v>0.33333333333333331</v>
      </c>
    </row>
    <row r="85" spans="1:14" x14ac:dyDescent="0.3">
      <c r="A85" t="s">
        <v>185</v>
      </c>
      <c r="B85" s="2">
        <v>45726</v>
      </c>
      <c r="C85" t="s">
        <v>186</v>
      </c>
      <c r="D85" t="s">
        <v>16</v>
      </c>
      <c r="E85" t="s">
        <v>32</v>
      </c>
      <c r="F85" t="s">
        <v>24</v>
      </c>
      <c r="G85" t="s">
        <v>29</v>
      </c>
      <c r="H85">
        <v>5</v>
      </c>
      <c r="I85" s="3">
        <v>12000</v>
      </c>
      <c r="J85" s="3">
        <v>16500</v>
      </c>
      <c r="K85" s="3">
        <v>82500</v>
      </c>
      <c r="L85" s="3">
        <v>60000</v>
      </c>
      <c r="M85" s="3">
        <v>22500</v>
      </c>
      <c r="N85" s="5">
        <v>0.27272727272727271</v>
      </c>
    </row>
    <row r="86" spans="1:14" x14ac:dyDescent="0.3">
      <c r="A86" t="s">
        <v>187</v>
      </c>
      <c r="B86" s="2">
        <v>45679</v>
      </c>
      <c r="C86" t="s">
        <v>188</v>
      </c>
      <c r="D86" t="s">
        <v>16</v>
      </c>
      <c r="E86" t="s">
        <v>28</v>
      </c>
      <c r="F86" t="s">
        <v>18</v>
      </c>
      <c r="G86" t="s">
        <v>37</v>
      </c>
      <c r="H86">
        <v>4</v>
      </c>
      <c r="I86" s="3">
        <v>400</v>
      </c>
      <c r="J86" s="3">
        <v>650</v>
      </c>
      <c r="K86" s="3">
        <v>2600</v>
      </c>
      <c r="L86" s="3">
        <v>1600</v>
      </c>
      <c r="M86" s="3">
        <v>1000</v>
      </c>
      <c r="N86" s="5">
        <v>0.38461538461538458</v>
      </c>
    </row>
    <row r="87" spans="1:14" x14ac:dyDescent="0.3">
      <c r="A87" t="s">
        <v>189</v>
      </c>
      <c r="B87" s="2">
        <v>45966</v>
      </c>
      <c r="C87" t="s">
        <v>125</v>
      </c>
      <c r="D87" t="s">
        <v>35</v>
      </c>
      <c r="E87" t="s">
        <v>36</v>
      </c>
      <c r="F87" t="s">
        <v>24</v>
      </c>
      <c r="G87" t="s">
        <v>25</v>
      </c>
      <c r="H87">
        <v>5</v>
      </c>
      <c r="I87" s="3">
        <v>15000</v>
      </c>
      <c r="J87" s="3">
        <v>19500</v>
      </c>
      <c r="K87" s="3">
        <v>97500</v>
      </c>
      <c r="L87" s="3">
        <v>75000</v>
      </c>
      <c r="M87" s="3">
        <v>22500</v>
      </c>
      <c r="N87" s="5">
        <v>0.23076923076923081</v>
      </c>
    </row>
    <row r="88" spans="1:14" x14ac:dyDescent="0.3">
      <c r="A88" t="s">
        <v>190</v>
      </c>
      <c r="B88" s="2">
        <v>45823</v>
      </c>
      <c r="C88" t="s">
        <v>191</v>
      </c>
      <c r="D88" t="s">
        <v>46</v>
      </c>
      <c r="E88" t="s">
        <v>32</v>
      </c>
      <c r="F88" t="s">
        <v>24</v>
      </c>
      <c r="G88" t="s">
        <v>25</v>
      </c>
      <c r="H88">
        <v>10</v>
      </c>
      <c r="I88" s="3">
        <v>15000</v>
      </c>
      <c r="J88" s="3">
        <v>19500</v>
      </c>
      <c r="K88" s="3">
        <v>195000</v>
      </c>
      <c r="L88" s="3">
        <v>150000</v>
      </c>
      <c r="M88" s="3">
        <v>45000</v>
      </c>
      <c r="N88" s="5">
        <v>0.23076923076923081</v>
      </c>
    </row>
    <row r="89" spans="1:14" x14ac:dyDescent="0.3">
      <c r="A89" t="s">
        <v>192</v>
      </c>
      <c r="B89" s="2">
        <v>45677</v>
      </c>
      <c r="C89" t="s">
        <v>67</v>
      </c>
      <c r="D89" t="s">
        <v>22</v>
      </c>
      <c r="E89" t="s">
        <v>17</v>
      </c>
      <c r="F89" t="s">
        <v>18</v>
      </c>
      <c r="G89" t="s">
        <v>37</v>
      </c>
      <c r="H89">
        <v>4</v>
      </c>
      <c r="I89" s="3">
        <v>400</v>
      </c>
      <c r="J89" s="3">
        <v>650</v>
      </c>
      <c r="K89" s="3">
        <v>2600</v>
      </c>
      <c r="L89" s="3">
        <v>1600</v>
      </c>
      <c r="M89" s="3">
        <v>1000</v>
      </c>
      <c r="N89" s="5">
        <v>0.38461538461538458</v>
      </c>
    </row>
    <row r="90" spans="1:14" x14ac:dyDescent="0.3">
      <c r="A90" t="s">
        <v>193</v>
      </c>
      <c r="B90" s="2">
        <v>45875</v>
      </c>
      <c r="C90" t="s">
        <v>15</v>
      </c>
      <c r="D90" t="s">
        <v>16</v>
      </c>
      <c r="E90" t="s">
        <v>36</v>
      </c>
      <c r="F90" t="s">
        <v>18</v>
      </c>
      <c r="G90" t="s">
        <v>37</v>
      </c>
      <c r="H90">
        <v>14</v>
      </c>
      <c r="I90" s="3">
        <v>400</v>
      </c>
      <c r="J90" s="3">
        <v>650</v>
      </c>
      <c r="K90" s="3">
        <v>9100</v>
      </c>
      <c r="L90" s="3">
        <v>5600</v>
      </c>
      <c r="M90" s="3">
        <v>3500</v>
      </c>
      <c r="N90" s="5">
        <v>0.38461538461538458</v>
      </c>
    </row>
    <row r="91" spans="1:14" x14ac:dyDescent="0.3">
      <c r="A91" t="s">
        <v>194</v>
      </c>
      <c r="B91" s="2">
        <v>45680</v>
      </c>
      <c r="C91" t="s">
        <v>195</v>
      </c>
      <c r="D91" t="s">
        <v>22</v>
      </c>
      <c r="E91" t="s">
        <v>28</v>
      </c>
      <c r="F91" t="s">
        <v>18</v>
      </c>
      <c r="G91" t="s">
        <v>19</v>
      </c>
      <c r="H91">
        <v>5</v>
      </c>
      <c r="I91" s="3">
        <v>1800</v>
      </c>
      <c r="J91" s="3">
        <v>2600</v>
      </c>
      <c r="K91" s="3">
        <v>13000</v>
      </c>
      <c r="L91" s="3">
        <v>9000</v>
      </c>
      <c r="M91" s="3">
        <v>4000</v>
      </c>
      <c r="N91" s="5">
        <v>0.30769230769230771</v>
      </c>
    </row>
    <row r="92" spans="1:14" x14ac:dyDescent="0.3">
      <c r="A92" t="s">
        <v>196</v>
      </c>
      <c r="B92" s="2">
        <v>45959</v>
      </c>
      <c r="C92" t="s">
        <v>197</v>
      </c>
      <c r="D92" t="s">
        <v>35</v>
      </c>
      <c r="E92" t="s">
        <v>17</v>
      </c>
      <c r="F92" t="s">
        <v>24</v>
      </c>
      <c r="G92" t="s">
        <v>29</v>
      </c>
      <c r="H92">
        <v>1</v>
      </c>
      <c r="I92" s="3">
        <v>12000</v>
      </c>
      <c r="J92" s="3">
        <v>16500</v>
      </c>
      <c r="K92" s="3">
        <v>16500</v>
      </c>
      <c r="L92" s="3">
        <v>12000</v>
      </c>
      <c r="M92" s="3">
        <v>4500</v>
      </c>
      <c r="N92" s="5">
        <v>0.27272727272727271</v>
      </c>
    </row>
    <row r="93" spans="1:14" x14ac:dyDescent="0.3">
      <c r="A93" t="s">
        <v>198</v>
      </c>
      <c r="B93" s="2">
        <v>45714</v>
      </c>
      <c r="C93" t="s">
        <v>168</v>
      </c>
      <c r="D93" t="s">
        <v>40</v>
      </c>
      <c r="E93" t="s">
        <v>17</v>
      </c>
      <c r="F93" t="s">
        <v>47</v>
      </c>
      <c r="G93" t="s">
        <v>48</v>
      </c>
      <c r="H93">
        <v>2</v>
      </c>
      <c r="I93" s="3">
        <v>2800</v>
      </c>
      <c r="J93" s="3">
        <v>4200</v>
      </c>
      <c r="K93" s="3">
        <v>8400</v>
      </c>
      <c r="L93" s="3">
        <v>5600</v>
      </c>
      <c r="M93" s="3">
        <v>2800</v>
      </c>
      <c r="N93" s="5">
        <v>0.33333333333333331</v>
      </c>
    </row>
    <row r="94" spans="1:14" x14ac:dyDescent="0.3">
      <c r="A94" t="s">
        <v>199</v>
      </c>
      <c r="B94" s="2">
        <v>45673</v>
      </c>
      <c r="C94" t="s">
        <v>200</v>
      </c>
      <c r="D94" t="s">
        <v>35</v>
      </c>
      <c r="E94" t="s">
        <v>32</v>
      </c>
      <c r="F94" t="s">
        <v>24</v>
      </c>
      <c r="G94" t="s">
        <v>25</v>
      </c>
      <c r="H94">
        <v>13</v>
      </c>
      <c r="I94" s="3">
        <v>15000</v>
      </c>
      <c r="J94" s="3">
        <v>19500</v>
      </c>
      <c r="K94" s="3">
        <v>253500</v>
      </c>
      <c r="L94" s="3">
        <v>195000</v>
      </c>
      <c r="M94" s="3">
        <v>58500</v>
      </c>
      <c r="N94" s="5">
        <v>0.23076923076923081</v>
      </c>
    </row>
    <row r="95" spans="1:14" x14ac:dyDescent="0.3">
      <c r="A95" t="s">
        <v>201</v>
      </c>
      <c r="B95" s="2">
        <v>45744</v>
      </c>
      <c r="C95" t="s">
        <v>57</v>
      </c>
      <c r="D95" t="s">
        <v>35</v>
      </c>
      <c r="E95" t="s">
        <v>36</v>
      </c>
      <c r="F95" t="s">
        <v>24</v>
      </c>
      <c r="G95" t="s">
        <v>63</v>
      </c>
      <c r="H95">
        <v>10</v>
      </c>
      <c r="I95" s="3">
        <v>42000</v>
      </c>
      <c r="J95" s="3">
        <v>55000</v>
      </c>
      <c r="K95" s="3">
        <v>550000</v>
      </c>
      <c r="L95" s="3">
        <v>420000</v>
      </c>
      <c r="M95" s="3">
        <v>130000</v>
      </c>
      <c r="N95" s="5">
        <v>0.23636363636363639</v>
      </c>
    </row>
    <row r="96" spans="1:14" x14ac:dyDescent="0.3">
      <c r="A96" t="s">
        <v>202</v>
      </c>
      <c r="B96" s="2">
        <v>45707</v>
      </c>
      <c r="C96" t="s">
        <v>119</v>
      </c>
      <c r="D96" t="s">
        <v>40</v>
      </c>
      <c r="E96" t="s">
        <v>23</v>
      </c>
      <c r="F96" t="s">
        <v>24</v>
      </c>
      <c r="G96" t="s">
        <v>63</v>
      </c>
      <c r="H96">
        <v>9</v>
      </c>
      <c r="I96" s="3">
        <v>42000</v>
      </c>
      <c r="J96" s="3">
        <v>55000</v>
      </c>
      <c r="K96" s="3">
        <v>495000</v>
      </c>
      <c r="L96" s="3">
        <v>378000</v>
      </c>
      <c r="M96" s="3">
        <v>117000</v>
      </c>
      <c r="N96" s="5">
        <v>0.23636363636363639</v>
      </c>
    </row>
    <row r="97" spans="1:14" x14ac:dyDescent="0.3">
      <c r="A97" t="s">
        <v>203</v>
      </c>
      <c r="B97" s="2">
        <v>45946</v>
      </c>
      <c r="C97" t="s">
        <v>140</v>
      </c>
      <c r="D97" t="s">
        <v>35</v>
      </c>
      <c r="E97" t="s">
        <v>55</v>
      </c>
      <c r="F97" t="s">
        <v>18</v>
      </c>
      <c r="G97" t="s">
        <v>19</v>
      </c>
      <c r="H97">
        <v>19</v>
      </c>
      <c r="I97" s="3">
        <v>1800</v>
      </c>
      <c r="J97" s="3">
        <v>2600</v>
      </c>
      <c r="K97" s="3">
        <v>49400</v>
      </c>
      <c r="L97" s="3">
        <v>34200</v>
      </c>
      <c r="M97" s="3">
        <v>15200</v>
      </c>
      <c r="N97" s="5">
        <v>0.30769230769230771</v>
      </c>
    </row>
    <row r="98" spans="1:14" x14ac:dyDescent="0.3">
      <c r="A98" t="s">
        <v>204</v>
      </c>
      <c r="B98" s="2">
        <v>45855</v>
      </c>
      <c r="C98" t="s">
        <v>131</v>
      </c>
      <c r="D98" t="s">
        <v>35</v>
      </c>
      <c r="E98" t="s">
        <v>32</v>
      </c>
      <c r="F98" t="s">
        <v>18</v>
      </c>
      <c r="G98" t="s">
        <v>37</v>
      </c>
      <c r="H98">
        <v>7</v>
      </c>
      <c r="I98" s="3">
        <v>400</v>
      </c>
      <c r="J98" s="3">
        <v>650</v>
      </c>
      <c r="K98" s="3">
        <v>4550</v>
      </c>
      <c r="L98" s="3">
        <v>2800</v>
      </c>
      <c r="M98" s="3">
        <v>1750</v>
      </c>
      <c r="N98" s="5">
        <v>0.38461538461538458</v>
      </c>
    </row>
    <row r="99" spans="1:14" x14ac:dyDescent="0.3">
      <c r="A99" t="s">
        <v>205</v>
      </c>
      <c r="B99" s="2">
        <v>45707</v>
      </c>
      <c r="C99" t="s">
        <v>206</v>
      </c>
      <c r="D99" t="s">
        <v>46</v>
      </c>
      <c r="E99" t="s">
        <v>17</v>
      </c>
      <c r="F99" t="s">
        <v>18</v>
      </c>
      <c r="G99" t="s">
        <v>60</v>
      </c>
      <c r="H99">
        <v>18</v>
      </c>
      <c r="I99" s="3">
        <v>1800</v>
      </c>
      <c r="J99" s="3">
        <v>2800</v>
      </c>
      <c r="K99" s="3">
        <v>50400</v>
      </c>
      <c r="L99" s="3">
        <v>32400</v>
      </c>
      <c r="M99" s="3">
        <v>18000</v>
      </c>
      <c r="N99" s="5">
        <v>0.35714285714285721</v>
      </c>
    </row>
    <row r="100" spans="1:14" x14ac:dyDescent="0.3">
      <c r="A100" t="s">
        <v>207</v>
      </c>
      <c r="B100" s="2">
        <v>45789</v>
      </c>
      <c r="C100" t="s">
        <v>71</v>
      </c>
      <c r="D100" t="s">
        <v>16</v>
      </c>
      <c r="E100" t="s">
        <v>36</v>
      </c>
      <c r="F100" t="s">
        <v>24</v>
      </c>
      <c r="G100" t="s">
        <v>63</v>
      </c>
      <c r="H100">
        <v>11</v>
      </c>
      <c r="I100" s="3">
        <v>42000</v>
      </c>
      <c r="J100" s="3">
        <v>55000</v>
      </c>
      <c r="K100" s="3">
        <v>605000</v>
      </c>
      <c r="L100" s="3">
        <v>462000</v>
      </c>
      <c r="M100" s="3">
        <v>143000</v>
      </c>
      <c r="N100" s="5">
        <v>0.23636363636363639</v>
      </c>
    </row>
    <row r="101" spans="1:14" x14ac:dyDescent="0.3">
      <c r="A101" t="s">
        <v>208</v>
      </c>
      <c r="B101" s="2">
        <v>45929</v>
      </c>
      <c r="C101" t="s">
        <v>34</v>
      </c>
      <c r="D101" t="s">
        <v>46</v>
      </c>
      <c r="E101" t="s">
        <v>23</v>
      </c>
      <c r="F101" t="s">
        <v>47</v>
      </c>
      <c r="G101" t="s">
        <v>48</v>
      </c>
      <c r="H101">
        <v>19</v>
      </c>
      <c r="I101" s="3">
        <v>2800</v>
      </c>
      <c r="J101" s="3">
        <v>4200</v>
      </c>
      <c r="K101" s="3">
        <v>79800</v>
      </c>
      <c r="L101" s="3">
        <v>53200</v>
      </c>
      <c r="M101" s="3">
        <v>26600</v>
      </c>
      <c r="N101" s="5">
        <v>0.33333333333333331</v>
      </c>
    </row>
    <row r="102" spans="1:14" x14ac:dyDescent="0.3">
      <c r="A102" t="s">
        <v>209</v>
      </c>
      <c r="B102" s="2">
        <v>45687</v>
      </c>
      <c r="C102" t="s">
        <v>210</v>
      </c>
      <c r="D102" t="s">
        <v>46</v>
      </c>
      <c r="E102" t="s">
        <v>23</v>
      </c>
      <c r="F102" t="s">
        <v>24</v>
      </c>
      <c r="G102" t="s">
        <v>29</v>
      </c>
      <c r="H102">
        <v>12</v>
      </c>
      <c r="I102" s="3">
        <v>12000</v>
      </c>
      <c r="J102" s="3">
        <v>16500</v>
      </c>
      <c r="K102" s="3">
        <v>198000</v>
      </c>
      <c r="L102" s="3">
        <v>144000</v>
      </c>
      <c r="M102" s="3">
        <v>54000</v>
      </c>
      <c r="N102" s="5">
        <v>0.27272727272727271</v>
      </c>
    </row>
    <row r="103" spans="1:14" x14ac:dyDescent="0.3">
      <c r="A103" t="s">
        <v>211</v>
      </c>
      <c r="B103" s="2">
        <v>45759</v>
      </c>
      <c r="C103" t="s">
        <v>136</v>
      </c>
      <c r="D103" t="s">
        <v>22</v>
      </c>
      <c r="E103" t="s">
        <v>23</v>
      </c>
      <c r="F103" t="s">
        <v>18</v>
      </c>
      <c r="G103" t="s">
        <v>72</v>
      </c>
      <c r="H103">
        <v>10</v>
      </c>
      <c r="I103" s="3">
        <v>900</v>
      </c>
      <c r="J103" s="3">
        <v>1500</v>
      </c>
      <c r="K103" s="3">
        <v>15000</v>
      </c>
      <c r="L103" s="3">
        <v>9000</v>
      </c>
      <c r="M103" s="3">
        <v>6000</v>
      </c>
      <c r="N103" s="5">
        <v>0.4</v>
      </c>
    </row>
    <row r="104" spans="1:14" x14ac:dyDescent="0.3">
      <c r="A104" t="s">
        <v>212</v>
      </c>
      <c r="B104" s="2">
        <v>45694</v>
      </c>
      <c r="C104" t="s">
        <v>213</v>
      </c>
      <c r="D104" t="s">
        <v>22</v>
      </c>
      <c r="E104" t="s">
        <v>55</v>
      </c>
      <c r="F104" t="s">
        <v>24</v>
      </c>
      <c r="G104" t="s">
        <v>29</v>
      </c>
      <c r="H104">
        <v>16</v>
      </c>
      <c r="I104" s="3">
        <v>12000</v>
      </c>
      <c r="J104" s="3">
        <v>16500</v>
      </c>
      <c r="K104" s="3">
        <v>264000</v>
      </c>
      <c r="L104" s="3">
        <v>192000</v>
      </c>
      <c r="M104" s="3">
        <v>72000</v>
      </c>
      <c r="N104" s="5">
        <v>0.27272727272727271</v>
      </c>
    </row>
    <row r="105" spans="1:14" x14ac:dyDescent="0.3">
      <c r="A105" t="s">
        <v>214</v>
      </c>
      <c r="B105" s="2">
        <v>45705</v>
      </c>
      <c r="C105" t="s">
        <v>215</v>
      </c>
      <c r="D105" t="s">
        <v>35</v>
      </c>
      <c r="E105" t="s">
        <v>32</v>
      </c>
      <c r="F105" t="s">
        <v>18</v>
      </c>
      <c r="G105" t="s">
        <v>72</v>
      </c>
      <c r="H105">
        <v>11</v>
      </c>
      <c r="I105" s="3">
        <v>900</v>
      </c>
      <c r="J105" s="3">
        <v>1500</v>
      </c>
      <c r="K105" s="3">
        <v>16500</v>
      </c>
      <c r="L105" s="3">
        <v>9900</v>
      </c>
      <c r="M105" s="3">
        <v>6600</v>
      </c>
      <c r="N105" s="5">
        <v>0.4</v>
      </c>
    </row>
    <row r="106" spans="1:14" x14ac:dyDescent="0.3">
      <c r="A106" t="s">
        <v>216</v>
      </c>
      <c r="B106" s="2">
        <v>45990</v>
      </c>
      <c r="C106" t="s">
        <v>102</v>
      </c>
      <c r="D106" t="s">
        <v>35</v>
      </c>
      <c r="E106" t="s">
        <v>55</v>
      </c>
      <c r="F106" t="s">
        <v>18</v>
      </c>
      <c r="G106" t="s">
        <v>19</v>
      </c>
      <c r="H106">
        <v>13</v>
      </c>
      <c r="I106" s="3">
        <v>1800</v>
      </c>
      <c r="J106" s="3">
        <v>2600</v>
      </c>
      <c r="K106" s="3">
        <v>33800</v>
      </c>
      <c r="L106" s="3">
        <v>23400</v>
      </c>
      <c r="M106" s="3">
        <v>10400</v>
      </c>
      <c r="N106" s="5">
        <v>0.30769230769230771</v>
      </c>
    </row>
    <row r="107" spans="1:14" x14ac:dyDescent="0.3">
      <c r="A107" t="s">
        <v>217</v>
      </c>
      <c r="B107" s="2">
        <v>45834</v>
      </c>
      <c r="C107" t="s">
        <v>218</v>
      </c>
      <c r="D107" t="s">
        <v>16</v>
      </c>
      <c r="E107" t="s">
        <v>55</v>
      </c>
      <c r="F107" t="s">
        <v>18</v>
      </c>
      <c r="G107" t="s">
        <v>37</v>
      </c>
      <c r="H107">
        <v>18</v>
      </c>
      <c r="I107" s="3">
        <v>400</v>
      </c>
      <c r="J107" s="3">
        <v>650</v>
      </c>
      <c r="K107" s="3">
        <v>11700</v>
      </c>
      <c r="L107" s="3">
        <v>7200</v>
      </c>
      <c r="M107" s="3">
        <v>4500</v>
      </c>
      <c r="N107" s="5">
        <v>0.38461538461538458</v>
      </c>
    </row>
    <row r="108" spans="1:14" x14ac:dyDescent="0.3">
      <c r="A108" t="s">
        <v>219</v>
      </c>
      <c r="B108" s="2">
        <v>45973</v>
      </c>
      <c r="C108" t="s">
        <v>218</v>
      </c>
      <c r="D108" t="s">
        <v>35</v>
      </c>
      <c r="E108" t="s">
        <v>36</v>
      </c>
      <c r="F108" t="s">
        <v>24</v>
      </c>
      <c r="G108" t="s">
        <v>29</v>
      </c>
      <c r="H108">
        <v>15</v>
      </c>
      <c r="I108" s="3">
        <v>12000</v>
      </c>
      <c r="J108" s="3">
        <v>16500</v>
      </c>
      <c r="K108" s="3">
        <v>247500</v>
      </c>
      <c r="L108" s="3">
        <v>180000</v>
      </c>
      <c r="M108" s="3">
        <v>67500</v>
      </c>
      <c r="N108" s="5">
        <v>0.27272727272727271</v>
      </c>
    </row>
    <row r="109" spans="1:14" x14ac:dyDescent="0.3">
      <c r="A109" t="s">
        <v>220</v>
      </c>
      <c r="B109" s="2">
        <v>45981</v>
      </c>
      <c r="C109" t="s">
        <v>221</v>
      </c>
      <c r="D109" t="s">
        <v>40</v>
      </c>
      <c r="E109" t="s">
        <v>23</v>
      </c>
      <c r="F109" t="s">
        <v>24</v>
      </c>
      <c r="G109" t="s">
        <v>25</v>
      </c>
      <c r="H109">
        <v>3</v>
      </c>
      <c r="I109" s="3">
        <v>15000</v>
      </c>
      <c r="J109" s="3">
        <v>19500</v>
      </c>
      <c r="K109" s="3">
        <v>58500</v>
      </c>
      <c r="L109" s="3">
        <v>45000</v>
      </c>
      <c r="M109" s="3">
        <v>13500</v>
      </c>
      <c r="N109" s="5">
        <v>0.23076923076923081</v>
      </c>
    </row>
    <row r="110" spans="1:14" x14ac:dyDescent="0.3">
      <c r="A110" t="s">
        <v>222</v>
      </c>
      <c r="B110" s="2">
        <v>45770</v>
      </c>
      <c r="C110" t="s">
        <v>223</v>
      </c>
      <c r="D110" t="s">
        <v>35</v>
      </c>
      <c r="E110" t="s">
        <v>23</v>
      </c>
      <c r="F110" t="s">
        <v>18</v>
      </c>
      <c r="G110" t="s">
        <v>37</v>
      </c>
      <c r="H110">
        <v>2</v>
      </c>
      <c r="I110" s="3">
        <v>400</v>
      </c>
      <c r="J110" s="3">
        <v>650</v>
      </c>
      <c r="K110" s="3">
        <v>1300</v>
      </c>
      <c r="L110" s="3">
        <v>800</v>
      </c>
      <c r="M110" s="3">
        <v>500</v>
      </c>
      <c r="N110" s="5">
        <v>0.38461538461538458</v>
      </c>
    </row>
    <row r="111" spans="1:14" x14ac:dyDescent="0.3">
      <c r="A111" t="s">
        <v>224</v>
      </c>
      <c r="B111" s="2">
        <v>45716</v>
      </c>
      <c r="C111" t="s">
        <v>149</v>
      </c>
      <c r="D111" t="s">
        <v>46</v>
      </c>
      <c r="E111" t="s">
        <v>17</v>
      </c>
      <c r="F111" t="s">
        <v>24</v>
      </c>
      <c r="G111" t="s">
        <v>29</v>
      </c>
      <c r="H111">
        <v>12</v>
      </c>
      <c r="I111" s="3">
        <v>12000</v>
      </c>
      <c r="J111" s="3">
        <v>16500</v>
      </c>
      <c r="K111" s="3">
        <v>198000</v>
      </c>
      <c r="L111" s="3">
        <v>144000</v>
      </c>
      <c r="M111" s="3">
        <v>54000</v>
      </c>
      <c r="N111" s="5">
        <v>0.27272727272727271</v>
      </c>
    </row>
    <row r="112" spans="1:14" x14ac:dyDescent="0.3">
      <c r="A112" t="s">
        <v>225</v>
      </c>
      <c r="B112" s="2">
        <v>45938</v>
      </c>
      <c r="C112" t="s">
        <v>133</v>
      </c>
      <c r="D112" t="s">
        <v>40</v>
      </c>
      <c r="E112" t="s">
        <v>32</v>
      </c>
      <c r="F112" t="s">
        <v>41</v>
      </c>
      <c r="G112" t="s">
        <v>42</v>
      </c>
      <c r="H112">
        <v>10</v>
      </c>
      <c r="I112" s="3">
        <v>8500</v>
      </c>
      <c r="J112" s="3">
        <v>12000</v>
      </c>
      <c r="K112" s="3">
        <v>120000</v>
      </c>
      <c r="L112" s="3">
        <v>85000</v>
      </c>
      <c r="M112" s="3">
        <v>35000</v>
      </c>
      <c r="N112" s="5">
        <v>0.29166666666666669</v>
      </c>
    </row>
    <row r="113" spans="1:14" x14ac:dyDescent="0.3">
      <c r="A113" t="s">
        <v>226</v>
      </c>
      <c r="B113" s="2">
        <v>45715</v>
      </c>
      <c r="C113" t="s">
        <v>182</v>
      </c>
      <c r="D113" t="s">
        <v>46</v>
      </c>
      <c r="E113" t="s">
        <v>28</v>
      </c>
      <c r="F113" t="s">
        <v>18</v>
      </c>
      <c r="G113" t="s">
        <v>19</v>
      </c>
      <c r="H113">
        <v>12</v>
      </c>
      <c r="I113" s="3">
        <v>1800</v>
      </c>
      <c r="J113" s="3">
        <v>2600</v>
      </c>
      <c r="K113" s="3">
        <v>31200</v>
      </c>
      <c r="L113" s="3">
        <v>21600</v>
      </c>
      <c r="M113" s="3">
        <v>9600</v>
      </c>
      <c r="N113" s="5">
        <v>0.30769230769230771</v>
      </c>
    </row>
    <row r="114" spans="1:14" x14ac:dyDescent="0.3">
      <c r="A114" t="s">
        <v>227</v>
      </c>
      <c r="B114" s="2">
        <v>45691</v>
      </c>
      <c r="C114" t="s">
        <v>21</v>
      </c>
      <c r="D114" t="s">
        <v>35</v>
      </c>
      <c r="E114" t="s">
        <v>23</v>
      </c>
      <c r="F114" t="s">
        <v>18</v>
      </c>
      <c r="G114" t="s">
        <v>76</v>
      </c>
      <c r="H114">
        <v>11</v>
      </c>
      <c r="I114" s="3">
        <v>2500</v>
      </c>
      <c r="J114" s="3">
        <v>3600</v>
      </c>
      <c r="K114" s="3">
        <v>39600</v>
      </c>
      <c r="L114" s="3">
        <v>27500</v>
      </c>
      <c r="M114" s="3">
        <v>12100</v>
      </c>
      <c r="N114" s="5">
        <v>0.30555555555555558</v>
      </c>
    </row>
    <row r="115" spans="1:14" x14ac:dyDescent="0.3">
      <c r="A115" t="s">
        <v>228</v>
      </c>
      <c r="B115" s="2">
        <v>45911</v>
      </c>
      <c r="C115" t="s">
        <v>229</v>
      </c>
      <c r="D115" t="s">
        <v>22</v>
      </c>
      <c r="E115" t="s">
        <v>28</v>
      </c>
      <c r="F115" t="s">
        <v>18</v>
      </c>
      <c r="G115" t="s">
        <v>72</v>
      </c>
      <c r="H115">
        <v>5</v>
      </c>
      <c r="I115" s="3">
        <v>900</v>
      </c>
      <c r="J115" s="3">
        <v>1500</v>
      </c>
      <c r="K115" s="3">
        <v>7500</v>
      </c>
      <c r="L115" s="3">
        <v>4500</v>
      </c>
      <c r="M115" s="3">
        <v>3000</v>
      </c>
      <c r="N115" s="5">
        <v>0.4</v>
      </c>
    </row>
    <row r="116" spans="1:14" x14ac:dyDescent="0.3">
      <c r="A116" t="s">
        <v>230</v>
      </c>
      <c r="B116" s="2">
        <v>45948</v>
      </c>
      <c r="C116" t="s">
        <v>95</v>
      </c>
      <c r="D116" t="s">
        <v>40</v>
      </c>
      <c r="E116" t="s">
        <v>28</v>
      </c>
      <c r="F116" t="s">
        <v>18</v>
      </c>
      <c r="G116" t="s">
        <v>60</v>
      </c>
      <c r="H116">
        <v>13</v>
      </c>
      <c r="I116" s="3">
        <v>1800</v>
      </c>
      <c r="J116" s="3">
        <v>2800</v>
      </c>
      <c r="K116" s="3">
        <v>36400</v>
      </c>
      <c r="L116" s="3">
        <v>23400</v>
      </c>
      <c r="M116" s="3">
        <v>13000</v>
      </c>
      <c r="N116" s="5">
        <v>0.35714285714285721</v>
      </c>
    </row>
    <row r="117" spans="1:14" x14ac:dyDescent="0.3">
      <c r="A117" t="s">
        <v>231</v>
      </c>
      <c r="B117" s="2">
        <v>45929</v>
      </c>
      <c r="C117" t="s">
        <v>178</v>
      </c>
      <c r="D117" t="s">
        <v>46</v>
      </c>
      <c r="E117" t="s">
        <v>28</v>
      </c>
      <c r="F117" t="s">
        <v>18</v>
      </c>
      <c r="G117" t="s">
        <v>37</v>
      </c>
      <c r="H117">
        <v>11</v>
      </c>
      <c r="I117" s="3">
        <v>400</v>
      </c>
      <c r="J117" s="3">
        <v>650</v>
      </c>
      <c r="K117" s="3">
        <v>7150</v>
      </c>
      <c r="L117" s="3">
        <v>4400</v>
      </c>
      <c r="M117" s="3">
        <v>2750</v>
      </c>
      <c r="N117" s="5">
        <v>0.38461538461538458</v>
      </c>
    </row>
    <row r="118" spans="1:14" x14ac:dyDescent="0.3">
      <c r="A118" t="s">
        <v>232</v>
      </c>
      <c r="B118" s="2">
        <v>45785</v>
      </c>
      <c r="C118" t="s">
        <v>233</v>
      </c>
      <c r="D118" t="s">
        <v>35</v>
      </c>
      <c r="E118" t="s">
        <v>32</v>
      </c>
      <c r="F118" t="s">
        <v>18</v>
      </c>
      <c r="G118" t="s">
        <v>72</v>
      </c>
      <c r="H118">
        <v>5</v>
      </c>
      <c r="I118" s="3">
        <v>900</v>
      </c>
      <c r="J118" s="3">
        <v>1500</v>
      </c>
      <c r="K118" s="3">
        <v>7500</v>
      </c>
      <c r="L118" s="3">
        <v>4500</v>
      </c>
      <c r="M118" s="3">
        <v>3000</v>
      </c>
      <c r="N118" s="5">
        <v>0.4</v>
      </c>
    </row>
    <row r="119" spans="1:14" x14ac:dyDescent="0.3">
      <c r="A119" t="s">
        <v>234</v>
      </c>
      <c r="B119" s="2">
        <v>45829</v>
      </c>
      <c r="C119" t="s">
        <v>235</v>
      </c>
      <c r="D119" t="s">
        <v>16</v>
      </c>
      <c r="E119" t="s">
        <v>55</v>
      </c>
      <c r="F119" t="s">
        <v>18</v>
      </c>
      <c r="G119" t="s">
        <v>76</v>
      </c>
      <c r="H119">
        <v>6</v>
      </c>
      <c r="I119" s="3">
        <v>2500</v>
      </c>
      <c r="J119" s="3">
        <v>3600</v>
      </c>
      <c r="K119" s="3">
        <v>21600</v>
      </c>
      <c r="L119" s="3">
        <v>15000</v>
      </c>
      <c r="M119" s="3">
        <v>6600</v>
      </c>
      <c r="N119" s="5">
        <v>0.30555555555555558</v>
      </c>
    </row>
    <row r="120" spans="1:14" x14ac:dyDescent="0.3">
      <c r="A120" t="s">
        <v>236</v>
      </c>
      <c r="B120" s="2">
        <v>45949</v>
      </c>
      <c r="C120" t="s">
        <v>156</v>
      </c>
      <c r="D120" t="s">
        <v>46</v>
      </c>
      <c r="E120" t="s">
        <v>28</v>
      </c>
      <c r="F120" t="s">
        <v>47</v>
      </c>
      <c r="G120" t="s">
        <v>48</v>
      </c>
      <c r="H120">
        <v>13</v>
      </c>
      <c r="I120" s="3">
        <v>2800</v>
      </c>
      <c r="J120" s="3">
        <v>4200</v>
      </c>
      <c r="K120" s="3">
        <v>54600</v>
      </c>
      <c r="L120" s="3">
        <v>36400</v>
      </c>
      <c r="M120" s="3">
        <v>18200</v>
      </c>
      <c r="N120" s="5">
        <v>0.33333333333333331</v>
      </c>
    </row>
    <row r="121" spans="1:14" x14ac:dyDescent="0.3">
      <c r="A121" t="s">
        <v>237</v>
      </c>
      <c r="B121" s="2">
        <v>45680</v>
      </c>
      <c r="C121" t="s">
        <v>238</v>
      </c>
      <c r="D121" t="s">
        <v>16</v>
      </c>
      <c r="E121" t="s">
        <v>23</v>
      </c>
      <c r="F121" t="s">
        <v>18</v>
      </c>
      <c r="G121" t="s">
        <v>60</v>
      </c>
      <c r="H121">
        <v>16</v>
      </c>
      <c r="I121" s="3">
        <v>1800</v>
      </c>
      <c r="J121" s="3">
        <v>2800</v>
      </c>
      <c r="K121" s="3">
        <v>44800</v>
      </c>
      <c r="L121" s="3">
        <v>28800</v>
      </c>
      <c r="M121" s="3">
        <v>16000</v>
      </c>
      <c r="N121" s="5">
        <v>0.35714285714285721</v>
      </c>
    </row>
    <row r="122" spans="1:14" x14ac:dyDescent="0.3">
      <c r="A122" t="s">
        <v>239</v>
      </c>
      <c r="B122" s="2">
        <v>45751</v>
      </c>
      <c r="C122" t="s">
        <v>52</v>
      </c>
      <c r="D122" t="s">
        <v>35</v>
      </c>
      <c r="E122" t="s">
        <v>32</v>
      </c>
      <c r="F122" t="s">
        <v>24</v>
      </c>
      <c r="G122" t="s">
        <v>25</v>
      </c>
      <c r="H122">
        <v>10</v>
      </c>
      <c r="I122" s="3">
        <v>15000</v>
      </c>
      <c r="J122" s="3">
        <v>19500</v>
      </c>
      <c r="K122" s="3">
        <v>195000</v>
      </c>
      <c r="L122" s="3">
        <v>150000</v>
      </c>
      <c r="M122" s="3">
        <v>45000</v>
      </c>
      <c r="N122" s="5">
        <v>0.23076923076923081</v>
      </c>
    </row>
    <row r="123" spans="1:14" x14ac:dyDescent="0.3">
      <c r="A123" t="s">
        <v>240</v>
      </c>
      <c r="B123" s="2">
        <v>45990</v>
      </c>
      <c r="C123" t="s">
        <v>71</v>
      </c>
      <c r="D123" t="s">
        <v>46</v>
      </c>
      <c r="E123" t="s">
        <v>17</v>
      </c>
      <c r="F123" t="s">
        <v>18</v>
      </c>
      <c r="G123" t="s">
        <v>37</v>
      </c>
      <c r="H123">
        <v>1</v>
      </c>
      <c r="I123" s="3">
        <v>400</v>
      </c>
      <c r="J123" s="3">
        <v>650</v>
      </c>
      <c r="K123" s="3">
        <v>650</v>
      </c>
      <c r="L123" s="3">
        <v>400</v>
      </c>
      <c r="M123" s="3">
        <v>250</v>
      </c>
      <c r="N123" s="5">
        <v>0.38461538461538458</v>
      </c>
    </row>
    <row r="124" spans="1:14" x14ac:dyDescent="0.3">
      <c r="A124" t="s">
        <v>241</v>
      </c>
      <c r="B124" s="2">
        <v>45965</v>
      </c>
      <c r="C124" t="s">
        <v>57</v>
      </c>
      <c r="D124" t="s">
        <v>22</v>
      </c>
      <c r="E124" t="s">
        <v>55</v>
      </c>
      <c r="F124" t="s">
        <v>18</v>
      </c>
      <c r="G124" t="s">
        <v>60</v>
      </c>
      <c r="H124">
        <v>4</v>
      </c>
      <c r="I124" s="3">
        <v>1800</v>
      </c>
      <c r="J124" s="3">
        <v>2800</v>
      </c>
      <c r="K124" s="3">
        <v>11200</v>
      </c>
      <c r="L124" s="3">
        <v>7200</v>
      </c>
      <c r="M124" s="3">
        <v>4000</v>
      </c>
      <c r="N124" s="5">
        <v>0.35714285714285721</v>
      </c>
    </row>
    <row r="125" spans="1:14" x14ac:dyDescent="0.3">
      <c r="A125" t="s">
        <v>242</v>
      </c>
      <c r="B125" s="2">
        <v>45672</v>
      </c>
      <c r="C125" t="s">
        <v>123</v>
      </c>
      <c r="D125" t="s">
        <v>22</v>
      </c>
      <c r="E125" t="s">
        <v>23</v>
      </c>
      <c r="F125" t="s">
        <v>18</v>
      </c>
      <c r="G125" t="s">
        <v>19</v>
      </c>
      <c r="H125">
        <v>1</v>
      </c>
      <c r="I125" s="3">
        <v>1800</v>
      </c>
      <c r="J125" s="3">
        <v>2600</v>
      </c>
      <c r="K125" s="3">
        <v>2600</v>
      </c>
      <c r="L125" s="3">
        <v>1800</v>
      </c>
      <c r="M125" s="3">
        <v>800</v>
      </c>
      <c r="N125" s="5">
        <v>0.30769230769230771</v>
      </c>
    </row>
    <row r="126" spans="1:14" x14ac:dyDescent="0.3">
      <c r="A126" t="s">
        <v>243</v>
      </c>
      <c r="B126" s="2">
        <v>45663</v>
      </c>
      <c r="C126" t="s">
        <v>140</v>
      </c>
      <c r="D126" t="s">
        <v>22</v>
      </c>
      <c r="E126" t="s">
        <v>28</v>
      </c>
      <c r="F126" t="s">
        <v>41</v>
      </c>
      <c r="G126" t="s">
        <v>42</v>
      </c>
      <c r="H126">
        <v>12</v>
      </c>
      <c r="I126" s="3">
        <v>8500</v>
      </c>
      <c r="J126" s="3">
        <v>12000</v>
      </c>
      <c r="K126" s="3">
        <v>144000</v>
      </c>
      <c r="L126" s="3">
        <v>102000</v>
      </c>
      <c r="M126" s="3">
        <v>42000</v>
      </c>
      <c r="N126" s="5">
        <v>0.29166666666666669</v>
      </c>
    </row>
    <row r="127" spans="1:14" x14ac:dyDescent="0.3">
      <c r="A127" t="s">
        <v>244</v>
      </c>
      <c r="B127" s="2">
        <v>45831</v>
      </c>
      <c r="C127" t="s">
        <v>245</v>
      </c>
      <c r="D127" t="s">
        <v>40</v>
      </c>
      <c r="E127" t="s">
        <v>17</v>
      </c>
      <c r="F127" t="s">
        <v>41</v>
      </c>
      <c r="G127" t="s">
        <v>42</v>
      </c>
      <c r="H127">
        <v>10</v>
      </c>
      <c r="I127" s="3">
        <v>8500</v>
      </c>
      <c r="J127" s="3">
        <v>12000</v>
      </c>
      <c r="K127" s="3">
        <v>120000</v>
      </c>
      <c r="L127" s="3">
        <v>85000</v>
      </c>
      <c r="M127" s="3">
        <v>35000</v>
      </c>
      <c r="N127" s="5">
        <v>0.29166666666666669</v>
      </c>
    </row>
    <row r="128" spans="1:14" x14ac:dyDescent="0.3">
      <c r="A128" t="s">
        <v>246</v>
      </c>
      <c r="B128" s="2">
        <v>45976</v>
      </c>
      <c r="C128" t="s">
        <v>210</v>
      </c>
      <c r="D128" t="s">
        <v>35</v>
      </c>
      <c r="E128" t="s">
        <v>36</v>
      </c>
      <c r="F128" t="s">
        <v>18</v>
      </c>
      <c r="G128" t="s">
        <v>37</v>
      </c>
      <c r="H128">
        <v>5</v>
      </c>
      <c r="I128" s="3">
        <v>400</v>
      </c>
      <c r="J128" s="3">
        <v>650</v>
      </c>
      <c r="K128" s="3">
        <v>3250</v>
      </c>
      <c r="L128" s="3">
        <v>2000</v>
      </c>
      <c r="M128" s="3">
        <v>1250</v>
      </c>
      <c r="N128" s="5">
        <v>0.38461538461538458</v>
      </c>
    </row>
    <row r="129" spans="1:14" x14ac:dyDescent="0.3">
      <c r="A129" t="s">
        <v>247</v>
      </c>
      <c r="B129" s="2">
        <v>45723</v>
      </c>
      <c r="C129" t="s">
        <v>57</v>
      </c>
      <c r="D129" t="s">
        <v>40</v>
      </c>
      <c r="E129" t="s">
        <v>55</v>
      </c>
      <c r="F129" t="s">
        <v>47</v>
      </c>
      <c r="G129" t="s">
        <v>48</v>
      </c>
      <c r="H129">
        <v>19</v>
      </c>
      <c r="I129" s="3">
        <v>2800</v>
      </c>
      <c r="J129" s="3">
        <v>4200</v>
      </c>
      <c r="K129" s="3">
        <v>79800</v>
      </c>
      <c r="L129" s="3">
        <v>53200</v>
      </c>
      <c r="M129" s="3">
        <v>26600</v>
      </c>
      <c r="N129" s="5">
        <v>0.33333333333333331</v>
      </c>
    </row>
    <row r="130" spans="1:14" x14ac:dyDescent="0.3">
      <c r="A130" t="s">
        <v>248</v>
      </c>
      <c r="B130" s="2">
        <v>46013</v>
      </c>
      <c r="C130" t="s">
        <v>146</v>
      </c>
      <c r="D130" t="s">
        <v>16</v>
      </c>
      <c r="E130" t="s">
        <v>28</v>
      </c>
      <c r="F130" t="s">
        <v>18</v>
      </c>
      <c r="G130" t="s">
        <v>60</v>
      </c>
      <c r="H130">
        <v>20</v>
      </c>
      <c r="I130" s="3">
        <v>1800</v>
      </c>
      <c r="J130" s="3">
        <v>2800</v>
      </c>
      <c r="K130" s="3">
        <v>56000</v>
      </c>
      <c r="L130" s="3">
        <v>36000</v>
      </c>
      <c r="M130" s="3">
        <v>20000</v>
      </c>
      <c r="N130" s="5">
        <v>0.35714285714285721</v>
      </c>
    </row>
    <row r="131" spans="1:14" x14ac:dyDescent="0.3">
      <c r="A131" t="s">
        <v>249</v>
      </c>
      <c r="B131" s="2">
        <v>45886</v>
      </c>
      <c r="C131" t="s">
        <v>89</v>
      </c>
      <c r="D131" t="s">
        <v>40</v>
      </c>
      <c r="E131" t="s">
        <v>36</v>
      </c>
      <c r="F131" t="s">
        <v>18</v>
      </c>
      <c r="G131" t="s">
        <v>76</v>
      </c>
      <c r="H131">
        <v>14</v>
      </c>
      <c r="I131" s="3">
        <v>2500</v>
      </c>
      <c r="J131" s="3">
        <v>3600</v>
      </c>
      <c r="K131" s="3">
        <v>50400</v>
      </c>
      <c r="L131" s="3">
        <v>35000</v>
      </c>
      <c r="M131" s="3">
        <v>15400</v>
      </c>
      <c r="N131" s="5">
        <v>0.30555555555555558</v>
      </c>
    </row>
    <row r="132" spans="1:14" x14ac:dyDescent="0.3">
      <c r="A132" t="s">
        <v>250</v>
      </c>
      <c r="B132" s="2">
        <v>45754</v>
      </c>
      <c r="C132" t="s">
        <v>186</v>
      </c>
      <c r="D132" t="s">
        <v>46</v>
      </c>
      <c r="E132" t="s">
        <v>36</v>
      </c>
      <c r="F132" t="s">
        <v>18</v>
      </c>
      <c r="G132" t="s">
        <v>76</v>
      </c>
      <c r="H132">
        <v>18</v>
      </c>
      <c r="I132" s="3">
        <v>2500</v>
      </c>
      <c r="J132" s="3">
        <v>3600</v>
      </c>
      <c r="K132" s="3">
        <v>64800</v>
      </c>
      <c r="L132" s="3">
        <v>45000</v>
      </c>
      <c r="M132" s="3">
        <v>19800</v>
      </c>
      <c r="N132" s="5">
        <v>0.30555555555555558</v>
      </c>
    </row>
    <row r="133" spans="1:14" x14ac:dyDescent="0.3">
      <c r="A133" t="s">
        <v>251</v>
      </c>
      <c r="B133" s="2">
        <v>45942</v>
      </c>
      <c r="C133" t="s">
        <v>252</v>
      </c>
      <c r="D133" t="s">
        <v>22</v>
      </c>
      <c r="E133" t="s">
        <v>28</v>
      </c>
      <c r="F133" t="s">
        <v>24</v>
      </c>
      <c r="G133" t="s">
        <v>25</v>
      </c>
      <c r="H133">
        <v>5</v>
      </c>
      <c r="I133" s="3">
        <v>15000</v>
      </c>
      <c r="J133" s="3">
        <v>19500</v>
      </c>
      <c r="K133" s="3">
        <v>97500</v>
      </c>
      <c r="L133" s="3">
        <v>75000</v>
      </c>
      <c r="M133" s="3">
        <v>22500</v>
      </c>
      <c r="N133" s="5">
        <v>0.23076923076923081</v>
      </c>
    </row>
    <row r="134" spans="1:14" x14ac:dyDescent="0.3">
      <c r="A134" t="s">
        <v>253</v>
      </c>
      <c r="B134" s="2">
        <v>45791</v>
      </c>
      <c r="C134" t="s">
        <v>85</v>
      </c>
      <c r="D134" t="s">
        <v>16</v>
      </c>
      <c r="E134" t="s">
        <v>36</v>
      </c>
      <c r="F134" t="s">
        <v>24</v>
      </c>
      <c r="G134" t="s">
        <v>63</v>
      </c>
      <c r="H134">
        <v>1</v>
      </c>
      <c r="I134" s="3">
        <v>42000</v>
      </c>
      <c r="J134" s="3">
        <v>55000</v>
      </c>
      <c r="K134" s="3">
        <v>55000</v>
      </c>
      <c r="L134" s="3">
        <v>42000</v>
      </c>
      <c r="M134" s="3">
        <v>13000</v>
      </c>
      <c r="N134" s="5">
        <v>0.23636363636363639</v>
      </c>
    </row>
    <row r="135" spans="1:14" x14ac:dyDescent="0.3">
      <c r="A135" t="s">
        <v>254</v>
      </c>
      <c r="B135" s="2">
        <v>45696</v>
      </c>
      <c r="C135" t="s">
        <v>255</v>
      </c>
      <c r="D135" t="s">
        <v>16</v>
      </c>
      <c r="E135" t="s">
        <v>55</v>
      </c>
      <c r="F135" t="s">
        <v>18</v>
      </c>
      <c r="G135" t="s">
        <v>72</v>
      </c>
      <c r="H135">
        <v>17</v>
      </c>
      <c r="I135" s="3">
        <v>900</v>
      </c>
      <c r="J135" s="3">
        <v>1500</v>
      </c>
      <c r="K135" s="3">
        <v>25500</v>
      </c>
      <c r="L135" s="3">
        <v>15300</v>
      </c>
      <c r="M135" s="3">
        <v>10200</v>
      </c>
      <c r="N135" s="5">
        <v>0.4</v>
      </c>
    </row>
    <row r="136" spans="1:14" x14ac:dyDescent="0.3">
      <c r="A136" t="s">
        <v>256</v>
      </c>
      <c r="B136" s="2">
        <v>45931</v>
      </c>
      <c r="C136" t="s">
        <v>257</v>
      </c>
      <c r="D136" t="s">
        <v>40</v>
      </c>
      <c r="E136" t="s">
        <v>55</v>
      </c>
      <c r="F136" t="s">
        <v>18</v>
      </c>
      <c r="G136" t="s">
        <v>19</v>
      </c>
      <c r="H136">
        <v>18</v>
      </c>
      <c r="I136" s="3">
        <v>1800</v>
      </c>
      <c r="J136" s="3">
        <v>2600</v>
      </c>
      <c r="K136" s="3">
        <v>46800</v>
      </c>
      <c r="L136" s="3">
        <v>32400</v>
      </c>
      <c r="M136" s="3">
        <v>14400</v>
      </c>
      <c r="N136" s="5">
        <v>0.30769230769230771</v>
      </c>
    </row>
    <row r="137" spans="1:14" x14ac:dyDescent="0.3">
      <c r="A137" t="s">
        <v>258</v>
      </c>
      <c r="B137" s="2">
        <v>45678</v>
      </c>
      <c r="C137" t="s">
        <v>259</v>
      </c>
      <c r="D137" t="s">
        <v>22</v>
      </c>
      <c r="E137" t="s">
        <v>17</v>
      </c>
      <c r="F137" t="s">
        <v>18</v>
      </c>
      <c r="G137" t="s">
        <v>72</v>
      </c>
      <c r="H137">
        <v>13</v>
      </c>
      <c r="I137" s="3">
        <v>900</v>
      </c>
      <c r="J137" s="3">
        <v>1500</v>
      </c>
      <c r="K137" s="3">
        <v>19500</v>
      </c>
      <c r="L137" s="3">
        <v>11700</v>
      </c>
      <c r="M137" s="3">
        <v>7800</v>
      </c>
      <c r="N137" s="5">
        <v>0.4</v>
      </c>
    </row>
    <row r="138" spans="1:14" x14ac:dyDescent="0.3">
      <c r="A138" t="s">
        <v>260</v>
      </c>
      <c r="B138" s="2">
        <v>45869</v>
      </c>
      <c r="C138" t="s">
        <v>93</v>
      </c>
      <c r="D138" t="s">
        <v>22</v>
      </c>
      <c r="E138" t="s">
        <v>32</v>
      </c>
      <c r="F138" t="s">
        <v>24</v>
      </c>
      <c r="G138" t="s">
        <v>63</v>
      </c>
      <c r="H138">
        <v>14</v>
      </c>
      <c r="I138" s="3">
        <v>42000</v>
      </c>
      <c r="J138" s="3">
        <v>55000</v>
      </c>
      <c r="K138" s="3">
        <v>770000</v>
      </c>
      <c r="L138" s="3">
        <v>588000</v>
      </c>
      <c r="M138" s="3">
        <v>182000</v>
      </c>
      <c r="N138" s="5">
        <v>0.23636363636363639</v>
      </c>
    </row>
    <row r="139" spans="1:14" x14ac:dyDescent="0.3">
      <c r="A139" t="s">
        <v>261</v>
      </c>
      <c r="B139" s="2">
        <v>45973</v>
      </c>
      <c r="C139" t="s">
        <v>210</v>
      </c>
      <c r="D139" t="s">
        <v>22</v>
      </c>
      <c r="E139" t="s">
        <v>23</v>
      </c>
      <c r="F139" t="s">
        <v>24</v>
      </c>
      <c r="G139" t="s">
        <v>25</v>
      </c>
      <c r="H139">
        <v>12</v>
      </c>
      <c r="I139" s="3">
        <v>15000</v>
      </c>
      <c r="J139" s="3">
        <v>19500</v>
      </c>
      <c r="K139" s="3">
        <v>234000</v>
      </c>
      <c r="L139" s="3">
        <v>180000</v>
      </c>
      <c r="M139" s="3">
        <v>54000</v>
      </c>
      <c r="N139" s="5">
        <v>0.23076923076923081</v>
      </c>
    </row>
    <row r="140" spans="1:14" x14ac:dyDescent="0.3">
      <c r="A140" t="s">
        <v>262</v>
      </c>
      <c r="B140" s="2">
        <v>45821</v>
      </c>
      <c r="C140" t="s">
        <v>146</v>
      </c>
      <c r="D140" t="s">
        <v>35</v>
      </c>
      <c r="E140" t="s">
        <v>28</v>
      </c>
      <c r="F140" t="s">
        <v>24</v>
      </c>
      <c r="G140" t="s">
        <v>25</v>
      </c>
      <c r="H140">
        <v>4</v>
      </c>
      <c r="I140" s="3">
        <v>15000</v>
      </c>
      <c r="J140" s="3">
        <v>19500</v>
      </c>
      <c r="K140" s="3">
        <v>78000</v>
      </c>
      <c r="L140" s="3">
        <v>60000</v>
      </c>
      <c r="M140" s="3">
        <v>18000</v>
      </c>
      <c r="N140" s="5">
        <v>0.23076923076923081</v>
      </c>
    </row>
    <row r="141" spans="1:14" x14ac:dyDescent="0.3">
      <c r="A141" t="s">
        <v>263</v>
      </c>
      <c r="B141" s="2">
        <v>45768</v>
      </c>
      <c r="C141" t="s">
        <v>172</v>
      </c>
      <c r="D141" t="s">
        <v>16</v>
      </c>
      <c r="E141" t="s">
        <v>28</v>
      </c>
      <c r="F141" t="s">
        <v>24</v>
      </c>
      <c r="G141" t="s">
        <v>25</v>
      </c>
      <c r="H141">
        <v>11</v>
      </c>
      <c r="I141" s="3">
        <v>15000</v>
      </c>
      <c r="J141" s="3">
        <v>19500</v>
      </c>
      <c r="K141" s="3">
        <v>214500</v>
      </c>
      <c r="L141" s="3">
        <v>165000</v>
      </c>
      <c r="M141" s="3">
        <v>49500</v>
      </c>
      <c r="N141" s="5">
        <v>0.23076923076923081</v>
      </c>
    </row>
    <row r="142" spans="1:14" x14ac:dyDescent="0.3">
      <c r="A142" t="s">
        <v>264</v>
      </c>
      <c r="B142" s="2">
        <v>45667</v>
      </c>
      <c r="C142" t="s">
        <v>110</v>
      </c>
      <c r="D142" t="s">
        <v>46</v>
      </c>
      <c r="E142" t="s">
        <v>36</v>
      </c>
      <c r="F142" t="s">
        <v>18</v>
      </c>
      <c r="G142" t="s">
        <v>72</v>
      </c>
      <c r="H142">
        <v>12</v>
      </c>
      <c r="I142" s="3">
        <v>900</v>
      </c>
      <c r="J142" s="3">
        <v>1500</v>
      </c>
      <c r="K142" s="3">
        <v>18000</v>
      </c>
      <c r="L142" s="3">
        <v>10800</v>
      </c>
      <c r="M142" s="3">
        <v>7200</v>
      </c>
      <c r="N142" s="5">
        <v>0.4</v>
      </c>
    </row>
    <row r="143" spans="1:14" x14ac:dyDescent="0.3">
      <c r="A143" t="s">
        <v>265</v>
      </c>
      <c r="B143" s="2">
        <v>45821</v>
      </c>
      <c r="C143" t="s">
        <v>87</v>
      </c>
      <c r="D143" t="s">
        <v>46</v>
      </c>
      <c r="E143" t="s">
        <v>28</v>
      </c>
      <c r="F143" t="s">
        <v>18</v>
      </c>
      <c r="G143" t="s">
        <v>72</v>
      </c>
      <c r="H143">
        <v>14</v>
      </c>
      <c r="I143" s="3">
        <v>900</v>
      </c>
      <c r="J143" s="3">
        <v>1500</v>
      </c>
      <c r="K143" s="3">
        <v>21000</v>
      </c>
      <c r="L143" s="3">
        <v>12600</v>
      </c>
      <c r="M143" s="3">
        <v>8400</v>
      </c>
      <c r="N143" s="5">
        <v>0.4</v>
      </c>
    </row>
    <row r="144" spans="1:14" x14ac:dyDescent="0.3">
      <c r="A144" t="s">
        <v>266</v>
      </c>
      <c r="B144" s="2">
        <v>45994</v>
      </c>
      <c r="C144" t="s">
        <v>59</v>
      </c>
      <c r="D144" t="s">
        <v>35</v>
      </c>
      <c r="E144" t="s">
        <v>28</v>
      </c>
      <c r="F144" t="s">
        <v>24</v>
      </c>
      <c r="G144" t="s">
        <v>63</v>
      </c>
      <c r="H144">
        <v>5</v>
      </c>
      <c r="I144" s="3">
        <v>42000</v>
      </c>
      <c r="J144" s="3">
        <v>55000</v>
      </c>
      <c r="K144" s="3">
        <v>275000</v>
      </c>
      <c r="L144" s="3">
        <v>210000</v>
      </c>
      <c r="M144" s="3">
        <v>65000</v>
      </c>
      <c r="N144" s="5">
        <v>0.23636363636363639</v>
      </c>
    </row>
    <row r="145" spans="1:14" x14ac:dyDescent="0.3">
      <c r="A145" t="s">
        <v>267</v>
      </c>
      <c r="B145" s="2">
        <v>45687</v>
      </c>
      <c r="C145" t="s">
        <v>268</v>
      </c>
      <c r="D145" t="s">
        <v>16</v>
      </c>
      <c r="E145" t="s">
        <v>55</v>
      </c>
      <c r="F145" t="s">
        <v>41</v>
      </c>
      <c r="G145" t="s">
        <v>42</v>
      </c>
      <c r="H145">
        <v>7</v>
      </c>
      <c r="I145" s="3">
        <v>8500</v>
      </c>
      <c r="J145" s="3">
        <v>12000</v>
      </c>
      <c r="K145" s="3">
        <v>84000</v>
      </c>
      <c r="L145" s="3">
        <v>59500</v>
      </c>
      <c r="M145" s="3">
        <v>24500</v>
      </c>
      <c r="N145" s="5">
        <v>0.29166666666666669</v>
      </c>
    </row>
    <row r="146" spans="1:14" x14ac:dyDescent="0.3">
      <c r="A146" t="s">
        <v>269</v>
      </c>
      <c r="B146" s="2">
        <v>45926</v>
      </c>
      <c r="C146" t="s">
        <v>270</v>
      </c>
      <c r="D146" t="s">
        <v>35</v>
      </c>
      <c r="E146" t="s">
        <v>28</v>
      </c>
      <c r="F146" t="s">
        <v>24</v>
      </c>
      <c r="G146" t="s">
        <v>29</v>
      </c>
      <c r="H146">
        <v>6</v>
      </c>
      <c r="I146" s="3">
        <v>12000</v>
      </c>
      <c r="J146" s="3">
        <v>16500</v>
      </c>
      <c r="K146" s="3">
        <v>99000</v>
      </c>
      <c r="L146" s="3">
        <v>72000</v>
      </c>
      <c r="M146" s="3">
        <v>27000</v>
      </c>
      <c r="N146" s="5">
        <v>0.27272727272727271</v>
      </c>
    </row>
    <row r="147" spans="1:14" x14ac:dyDescent="0.3">
      <c r="A147" t="s">
        <v>271</v>
      </c>
      <c r="B147" s="2">
        <v>45878</v>
      </c>
      <c r="C147" t="s">
        <v>272</v>
      </c>
      <c r="D147" t="s">
        <v>16</v>
      </c>
      <c r="E147" t="s">
        <v>32</v>
      </c>
      <c r="F147" t="s">
        <v>41</v>
      </c>
      <c r="G147" t="s">
        <v>42</v>
      </c>
      <c r="H147">
        <v>12</v>
      </c>
      <c r="I147" s="3">
        <v>8500</v>
      </c>
      <c r="J147" s="3">
        <v>12000</v>
      </c>
      <c r="K147" s="3">
        <v>144000</v>
      </c>
      <c r="L147" s="3">
        <v>102000</v>
      </c>
      <c r="M147" s="3">
        <v>42000</v>
      </c>
      <c r="N147" s="5">
        <v>0.29166666666666669</v>
      </c>
    </row>
    <row r="148" spans="1:14" x14ac:dyDescent="0.3">
      <c r="A148" t="s">
        <v>273</v>
      </c>
      <c r="B148" s="2">
        <v>45841</v>
      </c>
      <c r="C148" t="s">
        <v>274</v>
      </c>
      <c r="D148" t="s">
        <v>46</v>
      </c>
      <c r="E148" t="s">
        <v>36</v>
      </c>
      <c r="F148" t="s">
        <v>47</v>
      </c>
      <c r="G148" t="s">
        <v>48</v>
      </c>
      <c r="H148">
        <v>7</v>
      </c>
      <c r="I148" s="3">
        <v>2800</v>
      </c>
      <c r="J148" s="3">
        <v>4200</v>
      </c>
      <c r="K148" s="3">
        <v>29400</v>
      </c>
      <c r="L148" s="3">
        <v>19600</v>
      </c>
      <c r="M148" s="3">
        <v>9800</v>
      </c>
      <c r="N148" s="5">
        <v>0.33333333333333331</v>
      </c>
    </row>
    <row r="149" spans="1:14" x14ac:dyDescent="0.3">
      <c r="A149" t="s">
        <v>275</v>
      </c>
      <c r="B149" s="2">
        <v>45804</v>
      </c>
      <c r="C149" t="s">
        <v>276</v>
      </c>
      <c r="D149" t="s">
        <v>40</v>
      </c>
      <c r="E149" t="s">
        <v>23</v>
      </c>
      <c r="F149" t="s">
        <v>47</v>
      </c>
      <c r="G149" t="s">
        <v>48</v>
      </c>
      <c r="H149">
        <v>8</v>
      </c>
      <c r="I149" s="3">
        <v>2800</v>
      </c>
      <c r="J149" s="3">
        <v>4200</v>
      </c>
      <c r="K149" s="3">
        <v>33600</v>
      </c>
      <c r="L149" s="3">
        <v>22400</v>
      </c>
      <c r="M149" s="3">
        <v>11200</v>
      </c>
      <c r="N149" s="5">
        <v>0.33333333333333331</v>
      </c>
    </row>
    <row r="150" spans="1:14" x14ac:dyDescent="0.3">
      <c r="A150" t="s">
        <v>277</v>
      </c>
      <c r="B150" s="2">
        <v>45995</v>
      </c>
      <c r="C150" t="s">
        <v>215</v>
      </c>
      <c r="D150" t="s">
        <v>22</v>
      </c>
      <c r="E150" t="s">
        <v>55</v>
      </c>
      <c r="F150" t="s">
        <v>47</v>
      </c>
      <c r="G150" t="s">
        <v>48</v>
      </c>
      <c r="H150">
        <v>18</v>
      </c>
      <c r="I150" s="3">
        <v>2800</v>
      </c>
      <c r="J150" s="3">
        <v>4200</v>
      </c>
      <c r="K150" s="3">
        <v>75600</v>
      </c>
      <c r="L150" s="3">
        <v>50400</v>
      </c>
      <c r="M150" s="3">
        <v>25200</v>
      </c>
      <c r="N150" s="5">
        <v>0.33333333333333331</v>
      </c>
    </row>
    <row r="151" spans="1:14" x14ac:dyDescent="0.3">
      <c r="A151" t="s">
        <v>278</v>
      </c>
      <c r="B151" s="2">
        <v>46000</v>
      </c>
      <c r="C151" t="s">
        <v>31</v>
      </c>
      <c r="D151" t="s">
        <v>16</v>
      </c>
      <c r="E151" t="s">
        <v>28</v>
      </c>
      <c r="F151" t="s">
        <v>18</v>
      </c>
      <c r="G151" t="s">
        <v>19</v>
      </c>
      <c r="H151">
        <v>15</v>
      </c>
      <c r="I151" s="3">
        <v>1800</v>
      </c>
      <c r="J151" s="3">
        <v>2600</v>
      </c>
      <c r="K151" s="3">
        <v>39000</v>
      </c>
      <c r="L151" s="3">
        <v>27000</v>
      </c>
      <c r="M151" s="3">
        <v>12000</v>
      </c>
      <c r="N151" s="5">
        <v>0.30769230769230771</v>
      </c>
    </row>
    <row r="152" spans="1:14" x14ac:dyDescent="0.3">
      <c r="A152" t="s">
        <v>279</v>
      </c>
      <c r="B152" s="2">
        <v>45991</v>
      </c>
      <c r="C152" t="s">
        <v>71</v>
      </c>
      <c r="D152" t="s">
        <v>16</v>
      </c>
      <c r="E152" t="s">
        <v>55</v>
      </c>
      <c r="F152" t="s">
        <v>24</v>
      </c>
      <c r="G152" t="s">
        <v>25</v>
      </c>
      <c r="H152">
        <v>3</v>
      </c>
      <c r="I152" s="3">
        <v>15000</v>
      </c>
      <c r="J152" s="3">
        <v>19500</v>
      </c>
      <c r="K152" s="3">
        <v>58500</v>
      </c>
      <c r="L152" s="3">
        <v>45000</v>
      </c>
      <c r="M152" s="3">
        <v>13500</v>
      </c>
      <c r="N152" s="5">
        <v>0.23076923076923081</v>
      </c>
    </row>
    <row r="153" spans="1:14" x14ac:dyDescent="0.3">
      <c r="A153" t="s">
        <v>280</v>
      </c>
      <c r="B153" s="2">
        <v>45994</v>
      </c>
      <c r="C153" t="s">
        <v>44</v>
      </c>
      <c r="D153" t="s">
        <v>22</v>
      </c>
      <c r="E153" t="s">
        <v>28</v>
      </c>
      <c r="F153" t="s">
        <v>18</v>
      </c>
      <c r="G153" t="s">
        <v>37</v>
      </c>
      <c r="H153">
        <v>6</v>
      </c>
      <c r="I153" s="3">
        <v>400</v>
      </c>
      <c r="J153" s="3">
        <v>650</v>
      </c>
      <c r="K153" s="3">
        <v>3900</v>
      </c>
      <c r="L153" s="3">
        <v>2400</v>
      </c>
      <c r="M153" s="3">
        <v>1500</v>
      </c>
      <c r="N153" s="5">
        <v>0.38461538461538458</v>
      </c>
    </row>
    <row r="154" spans="1:14" x14ac:dyDescent="0.3">
      <c r="A154" t="s">
        <v>281</v>
      </c>
      <c r="B154" s="2">
        <v>45861</v>
      </c>
      <c r="C154" t="s">
        <v>39</v>
      </c>
      <c r="D154" t="s">
        <v>46</v>
      </c>
      <c r="E154" t="s">
        <v>55</v>
      </c>
      <c r="F154" t="s">
        <v>18</v>
      </c>
      <c r="G154" t="s">
        <v>60</v>
      </c>
      <c r="H154">
        <v>20</v>
      </c>
      <c r="I154" s="3">
        <v>1800</v>
      </c>
      <c r="J154" s="3">
        <v>2800</v>
      </c>
      <c r="K154" s="3">
        <v>56000</v>
      </c>
      <c r="L154" s="3">
        <v>36000</v>
      </c>
      <c r="M154" s="3">
        <v>20000</v>
      </c>
      <c r="N154" s="5">
        <v>0.35714285714285721</v>
      </c>
    </row>
    <row r="155" spans="1:14" x14ac:dyDescent="0.3">
      <c r="A155" t="s">
        <v>282</v>
      </c>
      <c r="B155" s="2">
        <v>45803</v>
      </c>
      <c r="C155" t="s">
        <v>119</v>
      </c>
      <c r="D155" t="s">
        <v>35</v>
      </c>
      <c r="E155" t="s">
        <v>17</v>
      </c>
      <c r="F155" t="s">
        <v>41</v>
      </c>
      <c r="G155" t="s">
        <v>42</v>
      </c>
      <c r="H155">
        <v>4</v>
      </c>
      <c r="I155" s="3">
        <v>8500</v>
      </c>
      <c r="J155" s="3">
        <v>12000</v>
      </c>
      <c r="K155" s="3">
        <v>48000</v>
      </c>
      <c r="L155" s="3">
        <v>34000</v>
      </c>
      <c r="M155" s="3">
        <v>14000</v>
      </c>
      <c r="N155" s="5">
        <v>0.29166666666666669</v>
      </c>
    </row>
    <row r="156" spans="1:14" x14ac:dyDescent="0.3">
      <c r="A156" t="s">
        <v>283</v>
      </c>
      <c r="B156" s="2">
        <v>45761</v>
      </c>
      <c r="C156" t="s">
        <v>142</v>
      </c>
      <c r="D156" t="s">
        <v>35</v>
      </c>
      <c r="E156" t="s">
        <v>17</v>
      </c>
      <c r="F156" t="s">
        <v>47</v>
      </c>
      <c r="G156" t="s">
        <v>48</v>
      </c>
      <c r="H156">
        <v>5</v>
      </c>
      <c r="I156" s="3">
        <v>2800</v>
      </c>
      <c r="J156" s="3">
        <v>4200</v>
      </c>
      <c r="K156" s="3">
        <v>21000</v>
      </c>
      <c r="L156" s="3">
        <v>14000</v>
      </c>
      <c r="M156" s="3">
        <v>7000</v>
      </c>
      <c r="N156" s="5">
        <v>0.33333333333333331</v>
      </c>
    </row>
    <row r="157" spans="1:14" x14ac:dyDescent="0.3">
      <c r="A157" t="s">
        <v>284</v>
      </c>
      <c r="B157" s="2">
        <v>45989</v>
      </c>
      <c r="C157" t="s">
        <v>119</v>
      </c>
      <c r="D157" t="s">
        <v>40</v>
      </c>
      <c r="E157" t="s">
        <v>17</v>
      </c>
      <c r="F157" t="s">
        <v>24</v>
      </c>
      <c r="G157" t="s">
        <v>25</v>
      </c>
      <c r="H157">
        <v>13</v>
      </c>
      <c r="I157" s="3">
        <v>15000</v>
      </c>
      <c r="J157" s="3">
        <v>19500</v>
      </c>
      <c r="K157" s="3">
        <v>253500</v>
      </c>
      <c r="L157" s="3">
        <v>195000</v>
      </c>
      <c r="M157" s="3">
        <v>58500</v>
      </c>
      <c r="N157" s="5">
        <v>0.23076923076923081</v>
      </c>
    </row>
    <row r="158" spans="1:14" x14ac:dyDescent="0.3">
      <c r="A158" t="s">
        <v>285</v>
      </c>
      <c r="B158" s="2">
        <v>45893</v>
      </c>
      <c r="C158" t="s">
        <v>106</v>
      </c>
      <c r="D158" t="s">
        <v>46</v>
      </c>
      <c r="E158" t="s">
        <v>55</v>
      </c>
      <c r="F158" t="s">
        <v>24</v>
      </c>
      <c r="G158" t="s">
        <v>25</v>
      </c>
      <c r="H158">
        <v>16</v>
      </c>
      <c r="I158" s="3">
        <v>15000</v>
      </c>
      <c r="J158" s="3">
        <v>19500</v>
      </c>
      <c r="K158" s="3">
        <v>312000</v>
      </c>
      <c r="L158" s="3">
        <v>240000</v>
      </c>
      <c r="M158" s="3">
        <v>72000</v>
      </c>
      <c r="N158" s="5">
        <v>0.23076923076923081</v>
      </c>
    </row>
    <row r="159" spans="1:14" x14ac:dyDescent="0.3">
      <c r="A159" t="s">
        <v>286</v>
      </c>
      <c r="B159" s="2">
        <v>45942</v>
      </c>
      <c r="C159" t="s">
        <v>287</v>
      </c>
      <c r="D159" t="s">
        <v>22</v>
      </c>
      <c r="E159" t="s">
        <v>55</v>
      </c>
      <c r="F159" t="s">
        <v>18</v>
      </c>
      <c r="G159" t="s">
        <v>76</v>
      </c>
      <c r="H159">
        <v>7</v>
      </c>
      <c r="I159" s="3">
        <v>2500</v>
      </c>
      <c r="J159" s="3">
        <v>3600</v>
      </c>
      <c r="K159" s="3">
        <v>25200</v>
      </c>
      <c r="L159" s="3">
        <v>17500</v>
      </c>
      <c r="M159" s="3">
        <v>7700</v>
      </c>
      <c r="N159" s="5">
        <v>0.30555555555555558</v>
      </c>
    </row>
    <row r="160" spans="1:14" x14ac:dyDescent="0.3">
      <c r="A160" t="s">
        <v>288</v>
      </c>
      <c r="B160" s="2">
        <v>45841</v>
      </c>
      <c r="C160" t="s">
        <v>289</v>
      </c>
      <c r="D160" t="s">
        <v>46</v>
      </c>
      <c r="E160" t="s">
        <v>36</v>
      </c>
      <c r="F160" t="s">
        <v>18</v>
      </c>
      <c r="G160" t="s">
        <v>19</v>
      </c>
      <c r="H160">
        <v>8</v>
      </c>
      <c r="I160" s="3">
        <v>1800</v>
      </c>
      <c r="J160" s="3">
        <v>2600</v>
      </c>
      <c r="K160" s="3">
        <v>20800</v>
      </c>
      <c r="L160" s="3">
        <v>14400</v>
      </c>
      <c r="M160" s="3">
        <v>6400</v>
      </c>
      <c r="N160" s="5">
        <v>0.30769230769230771</v>
      </c>
    </row>
    <row r="161" spans="1:14" x14ac:dyDescent="0.3">
      <c r="A161" t="s">
        <v>290</v>
      </c>
      <c r="B161" s="2">
        <v>45958</v>
      </c>
      <c r="C161" t="s">
        <v>238</v>
      </c>
      <c r="D161" t="s">
        <v>46</v>
      </c>
      <c r="E161" t="s">
        <v>36</v>
      </c>
      <c r="F161" t="s">
        <v>18</v>
      </c>
      <c r="G161" t="s">
        <v>19</v>
      </c>
      <c r="H161">
        <v>15</v>
      </c>
      <c r="I161" s="3">
        <v>1800</v>
      </c>
      <c r="J161" s="3">
        <v>2600</v>
      </c>
      <c r="K161" s="3">
        <v>39000</v>
      </c>
      <c r="L161" s="3">
        <v>27000</v>
      </c>
      <c r="M161" s="3">
        <v>12000</v>
      </c>
      <c r="N161" s="5">
        <v>0.30769230769230771</v>
      </c>
    </row>
    <row r="162" spans="1:14" x14ac:dyDescent="0.3">
      <c r="A162" t="s">
        <v>291</v>
      </c>
      <c r="B162" s="2">
        <v>45793</v>
      </c>
      <c r="C162" t="s">
        <v>106</v>
      </c>
      <c r="D162" t="s">
        <v>22</v>
      </c>
      <c r="E162" t="s">
        <v>17</v>
      </c>
      <c r="F162" t="s">
        <v>18</v>
      </c>
      <c r="G162" t="s">
        <v>60</v>
      </c>
      <c r="H162">
        <v>15</v>
      </c>
      <c r="I162" s="3">
        <v>1800</v>
      </c>
      <c r="J162" s="3">
        <v>2800</v>
      </c>
      <c r="K162" s="3">
        <v>42000</v>
      </c>
      <c r="L162" s="3">
        <v>27000</v>
      </c>
      <c r="M162" s="3">
        <v>15000</v>
      </c>
      <c r="N162" s="5">
        <v>0.35714285714285721</v>
      </c>
    </row>
    <row r="163" spans="1:14" x14ac:dyDescent="0.3">
      <c r="A163" t="s">
        <v>292</v>
      </c>
      <c r="B163" s="2">
        <v>45687</v>
      </c>
      <c r="C163" t="s">
        <v>200</v>
      </c>
      <c r="D163" t="s">
        <v>22</v>
      </c>
      <c r="E163" t="s">
        <v>55</v>
      </c>
      <c r="F163" t="s">
        <v>18</v>
      </c>
      <c r="G163" t="s">
        <v>72</v>
      </c>
      <c r="H163">
        <v>8</v>
      </c>
      <c r="I163" s="3">
        <v>900</v>
      </c>
      <c r="J163" s="3">
        <v>1500</v>
      </c>
      <c r="K163" s="3">
        <v>12000</v>
      </c>
      <c r="L163" s="3">
        <v>7200</v>
      </c>
      <c r="M163" s="3">
        <v>4800</v>
      </c>
      <c r="N163" s="5">
        <v>0.4</v>
      </c>
    </row>
    <row r="164" spans="1:14" x14ac:dyDescent="0.3">
      <c r="A164" t="s">
        <v>293</v>
      </c>
      <c r="B164" s="2">
        <v>45995</v>
      </c>
      <c r="C164" t="s">
        <v>294</v>
      </c>
      <c r="D164" t="s">
        <v>46</v>
      </c>
      <c r="E164" t="s">
        <v>17</v>
      </c>
      <c r="F164" t="s">
        <v>41</v>
      </c>
      <c r="G164" t="s">
        <v>42</v>
      </c>
      <c r="H164">
        <v>1</v>
      </c>
      <c r="I164" s="3">
        <v>8500</v>
      </c>
      <c r="J164" s="3">
        <v>12000</v>
      </c>
      <c r="K164" s="3">
        <v>12000</v>
      </c>
      <c r="L164" s="3">
        <v>8500</v>
      </c>
      <c r="M164" s="3">
        <v>3500</v>
      </c>
      <c r="N164" s="5">
        <v>0.29166666666666669</v>
      </c>
    </row>
    <row r="165" spans="1:14" x14ac:dyDescent="0.3">
      <c r="A165" t="s">
        <v>295</v>
      </c>
      <c r="B165" s="2">
        <v>45857</v>
      </c>
      <c r="C165" t="s">
        <v>54</v>
      </c>
      <c r="D165" t="s">
        <v>22</v>
      </c>
      <c r="E165" t="s">
        <v>17</v>
      </c>
      <c r="F165" t="s">
        <v>18</v>
      </c>
      <c r="G165" t="s">
        <v>76</v>
      </c>
      <c r="H165">
        <v>8</v>
      </c>
      <c r="I165" s="3">
        <v>2500</v>
      </c>
      <c r="J165" s="3">
        <v>3600</v>
      </c>
      <c r="K165" s="3">
        <v>28800</v>
      </c>
      <c r="L165" s="3">
        <v>20000</v>
      </c>
      <c r="M165" s="3">
        <v>8800</v>
      </c>
      <c r="N165" s="5">
        <v>0.30555555555555558</v>
      </c>
    </row>
    <row r="166" spans="1:14" x14ac:dyDescent="0.3">
      <c r="A166" t="s">
        <v>296</v>
      </c>
      <c r="B166" s="2">
        <v>45808</v>
      </c>
      <c r="C166" t="s">
        <v>110</v>
      </c>
      <c r="D166" t="s">
        <v>22</v>
      </c>
      <c r="E166" t="s">
        <v>28</v>
      </c>
      <c r="F166" t="s">
        <v>18</v>
      </c>
      <c r="G166" t="s">
        <v>19</v>
      </c>
      <c r="H166">
        <v>18</v>
      </c>
      <c r="I166" s="3">
        <v>1800</v>
      </c>
      <c r="J166" s="3">
        <v>2600</v>
      </c>
      <c r="K166" s="3">
        <v>46800</v>
      </c>
      <c r="L166" s="3">
        <v>32400</v>
      </c>
      <c r="M166" s="3">
        <v>14400</v>
      </c>
      <c r="N166" s="5">
        <v>0.30769230769230771</v>
      </c>
    </row>
    <row r="167" spans="1:14" x14ac:dyDescent="0.3">
      <c r="A167" t="s">
        <v>297</v>
      </c>
      <c r="B167" s="2">
        <v>45985</v>
      </c>
      <c r="C167" t="s">
        <v>298</v>
      </c>
      <c r="D167" t="s">
        <v>46</v>
      </c>
      <c r="E167" t="s">
        <v>36</v>
      </c>
      <c r="F167" t="s">
        <v>24</v>
      </c>
      <c r="G167" t="s">
        <v>29</v>
      </c>
      <c r="H167">
        <v>2</v>
      </c>
      <c r="I167" s="3">
        <v>12000</v>
      </c>
      <c r="J167" s="3">
        <v>16500</v>
      </c>
      <c r="K167" s="3">
        <v>33000</v>
      </c>
      <c r="L167" s="3">
        <v>24000</v>
      </c>
      <c r="M167" s="3">
        <v>9000</v>
      </c>
      <c r="N167" s="5">
        <v>0.27272727272727271</v>
      </c>
    </row>
    <row r="168" spans="1:14" x14ac:dyDescent="0.3">
      <c r="A168" t="s">
        <v>299</v>
      </c>
      <c r="B168" s="2">
        <v>45891</v>
      </c>
      <c r="C168" t="s">
        <v>300</v>
      </c>
      <c r="D168" t="s">
        <v>16</v>
      </c>
      <c r="E168" t="s">
        <v>55</v>
      </c>
      <c r="F168" t="s">
        <v>18</v>
      </c>
      <c r="G168" t="s">
        <v>19</v>
      </c>
      <c r="H168">
        <v>11</v>
      </c>
      <c r="I168" s="3">
        <v>1800</v>
      </c>
      <c r="J168" s="3">
        <v>2600</v>
      </c>
      <c r="K168" s="3">
        <v>28600</v>
      </c>
      <c r="L168" s="3">
        <v>19800</v>
      </c>
      <c r="M168" s="3">
        <v>8800</v>
      </c>
      <c r="N168" s="5">
        <v>0.30769230769230771</v>
      </c>
    </row>
    <row r="169" spans="1:14" x14ac:dyDescent="0.3">
      <c r="A169" t="s">
        <v>301</v>
      </c>
      <c r="B169" s="2">
        <v>45748</v>
      </c>
      <c r="C169" t="s">
        <v>218</v>
      </c>
      <c r="D169" t="s">
        <v>40</v>
      </c>
      <c r="E169" t="s">
        <v>17</v>
      </c>
      <c r="F169" t="s">
        <v>24</v>
      </c>
      <c r="G169" t="s">
        <v>29</v>
      </c>
      <c r="H169">
        <v>6</v>
      </c>
      <c r="I169" s="3">
        <v>12000</v>
      </c>
      <c r="J169" s="3">
        <v>16500</v>
      </c>
      <c r="K169" s="3">
        <v>99000</v>
      </c>
      <c r="L169" s="3">
        <v>72000</v>
      </c>
      <c r="M169" s="3">
        <v>27000</v>
      </c>
      <c r="N169" s="5">
        <v>0.27272727272727271</v>
      </c>
    </row>
    <row r="170" spans="1:14" x14ac:dyDescent="0.3">
      <c r="A170" t="s">
        <v>302</v>
      </c>
      <c r="B170" s="2">
        <v>45694</v>
      </c>
      <c r="C170" t="s">
        <v>303</v>
      </c>
      <c r="D170" t="s">
        <v>46</v>
      </c>
      <c r="E170" t="s">
        <v>32</v>
      </c>
      <c r="F170" t="s">
        <v>18</v>
      </c>
      <c r="G170" t="s">
        <v>60</v>
      </c>
      <c r="H170">
        <v>17</v>
      </c>
      <c r="I170" s="3">
        <v>1800</v>
      </c>
      <c r="J170" s="3">
        <v>2800</v>
      </c>
      <c r="K170" s="3">
        <v>47600</v>
      </c>
      <c r="L170" s="3">
        <v>30600</v>
      </c>
      <c r="M170" s="3">
        <v>17000</v>
      </c>
      <c r="N170" s="5">
        <v>0.35714285714285721</v>
      </c>
    </row>
    <row r="171" spans="1:14" x14ac:dyDescent="0.3">
      <c r="A171" t="s">
        <v>304</v>
      </c>
      <c r="B171" s="2">
        <v>45870</v>
      </c>
      <c r="C171" t="s">
        <v>305</v>
      </c>
      <c r="D171" t="s">
        <v>46</v>
      </c>
      <c r="E171" t="s">
        <v>23</v>
      </c>
      <c r="F171" t="s">
        <v>41</v>
      </c>
      <c r="G171" t="s">
        <v>42</v>
      </c>
      <c r="H171">
        <v>8</v>
      </c>
      <c r="I171" s="3">
        <v>8500</v>
      </c>
      <c r="J171" s="3">
        <v>12000</v>
      </c>
      <c r="K171" s="3">
        <v>96000</v>
      </c>
      <c r="L171" s="3">
        <v>68000</v>
      </c>
      <c r="M171" s="3">
        <v>28000</v>
      </c>
      <c r="N171" s="5">
        <v>0.29166666666666669</v>
      </c>
    </row>
    <row r="172" spans="1:14" x14ac:dyDescent="0.3">
      <c r="A172" t="s">
        <v>306</v>
      </c>
      <c r="B172" s="2">
        <v>45687</v>
      </c>
      <c r="C172" t="s">
        <v>307</v>
      </c>
      <c r="D172" t="s">
        <v>16</v>
      </c>
      <c r="E172" t="s">
        <v>55</v>
      </c>
      <c r="F172" t="s">
        <v>24</v>
      </c>
      <c r="G172" t="s">
        <v>63</v>
      </c>
      <c r="H172">
        <v>17</v>
      </c>
      <c r="I172" s="3">
        <v>42000</v>
      </c>
      <c r="J172" s="3">
        <v>55000</v>
      </c>
      <c r="K172" s="3">
        <v>935000</v>
      </c>
      <c r="L172" s="3">
        <v>714000</v>
      </c>
      <c r="M172" s="3">
        <v>221000</v>
      </c>
      <c r="N172" s="5">
        <v>0.23636363636363639</v>
      </c>
    </row>
    <row r="173" spans="1:14" x14ac:dyDescent="0.3">
      <c r="A173" t="s">
        <v>308</v>
      </c>
      <c r="B173" s="2">
        <v>46022</v>
      </c>
      <c r="C173" t="s">
        <v>270</v>
      </c>
      <c r="D173" t="s">
        <v>40</v>
      </c>
      <c r="E173" t="s">
        <v>17</v>
      </c>
      <c r="F173" t="s">
        <v>18</v>
      </c>
      <c r="G173" t="s">
        <v>19</v>
      </c>
      <c r="H173">
        <v>8</v>
      </c>
      <c r="I173" s="3">
        <v>1800</v>
      </c>
      <c r="J173" s="3">
        <v>2600</v>
      </c>
      <c r="K173" s="3">
        <v>20800</v>
      </c>
      <c r="L173" s="3">
        <v>14400</v>
      </c>
      <c r="M173" s="3">
        <v>6400</v>
      </c>
      <c r="N173" s="5">
        <v>0.30769230769230771</v>
      </c>
    </row>
    <row r="174" spans="1:14" x14ac:dyDescent="0.3">
      <c r="A174" t="s">
        <v>309</v>
      </c>
      <c r="B174" s="2">
        <v>45781</v>
      </c>
      <c r="C174" t="s">
        <v>142</v>
      </c>
      <c r="D174" t="s">
        <v>35</v>
      </c>
      <c r="E174" t="s">
        <v>17</v>
      </c>
      <c r="F174" t="s">
        <v>18</v>
      </c>
      <c r="G174" t="s">
        <v>72</v>
      </c>
      <c r="H174">
        <v>3</v>
      </c>
      <c r="I174" s="3">
        <v>900</v>
      </c>
      <c r="J174" s="3">
        <v>1500</v>
      </c>
      <c r="K174" s="3">
        <v>4500</v>
      </c>
      <c r="L174" s="3">
        <v>2700</v>
      </c>
      <c r="M174" s="3">
        <v>1800</v>
      </c>
      <c r="N174" s="5">
        <v>0.4</v>
      </c>
    </row>
    <row r="175" spans="1:14" x14ac:dyDescent="0.3">
      <c r="A175" t="s">
        <v>310</v>
      </c>
      <c r="B175" s="2">
        <v>45900</v>
      </c>
      <c r="C175" t="s">
        <v>311</v>
      </c>
      <c r="D175" t="s">
        <v>35</v>
      </c>
      <c r="E175" t="s">
        <v>23</v>
      </c>
      <c r="F175" t="s">
        <v>18</v>
      </c>
      <c r="G175" t="s">
        <v>72</v>
      </c>
      <c r="H175">
        <v>6</v>
      </c>
      <c r="I175" s="3">
        <v>900</v>
      </c>
      <c r="J175" s="3">
        <v>1500</v>
      </c>
      <c r="K175" s="3">
        <v>9000</v>
      </c>
      <c r="L175" s="3">
        <v>5400</v>
      </c>
      <c r="M175" s="3">
        <v>3600</v>
      </c>
      <c r="N175" s="5">
        <v>0.4</v>
      </c>
    </row>
    <row r="176" spans="1:14" x14ac:dyDescent="0.3">
      <c r="A176" t="s">
        <v>312</v>
      </c>
      <c r="B176" s="2">
        <v>45950</v>
      </c>
      <c r="C176" t="s">
        <v>62</v>
      </c>
      <c r="D176" t="s">
        <v>16</v>
      </c>
      <c r="E176" t="s">
        <v>32</v>
      </c>
      <c r="F176" t="s">
        <v>18</v>
      </c>
      <c r="G176" t="s">
        <v>60</v>
      </c>
      <c r="H176">
        <v>10</v>
      </c>
      <c r="I176" s="3">
        <v>1800</v>
      </c>
      <c r="J176" s="3">
        <v>2800</v>
      </c>
      <c r="K176" s="3">
        <v>28000</v>
      </c>
      <c r="L176" s="3">
        <v>18000</v>
      </c>
      <c r="M176" s="3">
        <v>10000</v>
      </c>
      <c r="N176" s="5">
        <v>0.35714285714285721</v>
      </c>
    </row>
    <row r="177" spans="1:14" x14ac:dyDescent="0.3">
      <c r="A177" t="s">
        <v>313</v>
      </c>
      <c r="B177" s="2">
        <v>46018</v>
      </c>
      <c r="C177" t="s">
        <v>112</v>
      </c>
      <c r="D177" t="s">
        <v>40</v>
      </c>
      <c r="E177" t="s">
        <v>17</v>
      </c>
      <c r="F177" t="s">
        <v>24</v>
      </c>
      <c r="G177" t="s">
        <v>29</v>
      </c>
      <c r="H177">
        <v>9</v>
      </c>
      <c r="I177" s="3">
        <v>12000</v>
      </c>
      <c r="J177" s="3">
        <v>16500</v>
      </c>
      <c r="K177" s="3">
        <v>148500</v>
      </c>
      <c r="L177" s="3">
        <v>108000</v>
      </c>
      <c r="M177" s="3">
        <v>40500</v>
      </c>
      <c r="N177" s="5">
        <v>0.27272727272727271</v>
      </c>
    </row>
    <row r="178" spans="1:14" x14ac:dyDescent="0.3">
      <c r="A178" t="s">
        <v>314</v>
      </c>
      <c r="B178" s="2">
        <v>45668</v>
      </c>
      <c r="C178" t="s">
        <v>121</v>
      </c>
      <c r="D178" t="s">
        <v>35</v>
      </c>
      <c r="E178" t="s">
        <v>17</v>
      </c>
      <c r="F178" t="s">
        <v>18</v>
      </c>
      <c r="G178" t="s">
        <v>72</v>
      </c>
      <c r="H178">
        <v>8</v>
      </c>
      <c r="I178" s="3">
        <v>900</v>
      </c>
      <c r="J178" s="3">
        <v>1500</v>
      </c>
      <c r="K178" s="3">
        <v>12000</v>
      </c>
      <c r="L178" s="3">
        <v>7200</v>
      </c>
      <c r="M178" s="3">
        <v>4800</v>
      </c>
      <c r="N178" s="5">
        <v>0.4</v>
      </c>
    </row>
    <row r="179" spans="1:14" x14ac:dyDescent="0.3">
      <c r="A179" t="s">
        <v>315</v>
      </c>
      <c r="B179" s="2">
        <v>45997</v>
      </c>
      <c r="C179" t="s">
        <v>110</v>
      </c>
      <c r="D179" t="s">
        <v>35</v>
      </c>
      <c r="E179" t="s">
        <v>32</v>
      </c>
      <c r="F179" t="s">
        <v>18</v>
      </c>
      <c r="G179" t="s">
        <v>19</v>
      </c>
      <c r="H179">
        <v>4</v>
      </c>
      <c r="I179" s="3">
        <v>1800</v>
      </c>
      <c r="J179" s="3">
        <v>2600</v>
      </c>
      <c r="K179" s="3">
        <v>10400</v>
      </c>
      <c r="L179" s="3">
        <v>7200</v>
      </c>
      <c r="M179" s="3">
        <v>3200</v>
      </c>
      <c r="N179" s="5">
        <v>0.30769230769230771</v>
      </c>
    </row>
    <row r="180" spans="1:14" x14ac:dyDescent="0.3">
      <c r="A180" t="s">
        <v>316</v>
      </c>
      <c r="B180" s="2">
        <v>45903</v>
      </c>
      <c r="C180" t="s">
        <v>317</v>
      </c>
      <c r="D180" t="s">
        <v>40</v>
      </c>
      <c r="E180" t="s">
        <v>28</v>
      </c>
      <c r="F180" t="s">
        <v>24</v>
      </c>
      <c r="G180" t="s">
        <v>29</v>
      </c>
      <c r="H180">
        <v>9</v>
      </c>
      <c r="I180" s="3">
        <v>12000</v>
      </c>
      <c r="J180" s="3">
        <v>16500</v>
      </c>
      <c r="K180" s="3">
        <v>148500</v>
      </c>
      <c r="L180" s="3">
        <v>108000</v>
      </c>
      <c r="M180" s="3">
        <v>40500</v>
      </c>
      <c r="N180" s="5">
        <v>0.27272727272727271</v>
      </c>
    </row>
    <row r="181" spans="1:14" x14ac:dyDescent="0.3">
      <c r="A181" t="s">
        <v>318</v>
      </c>
      <c r="B181" s="2">
        <v>45891</v>
      </c>
      <c r="C181" t="s">
        <v>319</v>
      </c>
      <c r="D181" t="s">
        <v>46</v>
      </c>
      <c r="E181" t="s">
        <v>36</v>
      </c>
      <c r="F181" t="s">
        <v>24</v>
      </c>
      <c r="G181" t="s">
        <v>29</v>
      </c>
      <c r="H181">
        <v>2</v>
      </c>
      <c r="I181" s="3">
        <v>12000</v>
      </c>
      <c r="J181" s="3">
        <v>16500</v>
      </c>
      <c r="K181" s="3">
        <v>33000</v>
      </c>
      <c r="L181" s="3">
        <v>24000</v>
      </c>
      <c r="M181" s="3">
        <v>9000</v>
      </c>
      <c r="N181" s="5">
        <v>0.27272727272727271</v>
      </c>
    </row>
    <row r="182" spans="1:14" x14ac:dyDescent="0.3">
      <c r="A182" t="s">
        <v>320</v>
      </c>
      <c r="B182" s="2">
        <v>45921</v>
      </c>
      <c r="C182" t="s">
        <v>112</v>
      </c>
      <c r="D182" t="s">
        <v>16</v>
      </c>
      <c r="E182" t="s">
        <v>28</v>
      </c>
      <c r="F182" t="s">
        <v>24</v>
      </c>
      <c r="G182" t="s">
        <v>25</v>
      </c>
      <c r="H182">
        <v>1</v>
      </c>
      <c r="I182" s="3">
        <v>15000</v>
      </c>
      <c r="J182" s="3">
        <v>19500</v>
      </c>
      <c r="K182" s="3">
        <v>19500</v>
      </c>
      <c r="L182" s="3">
        <v>15000</v>
      </c>
      <c r="M182" s="3">
        <v>4500</v>
      </c>
      <c r="N182" s="5">
        <v>0.23076923076923081</v>
      </c>
    </row>
    <row r="183" spans="1:14" x14ac:dyDescent="0.3">
      <c r="A183" t="s">
        <v>321</v>
      </c>
      <c r="B183" s="2">
        <v>45675</v>
      </c>
      <c r="C183" t="s">
        <v>233</v>
      </c>
      <c r="D183" t="s">
        <v>22</v>
      </c>
      <c r="E183" t="s">
        <v>55</v>
      </c>
      <c r="F183" t="s">
        <v>18</v>
      </c>
      <c r="G183" t="s">
        <v>37</v>
      </c>
      <c r="H183">
        <v>6</v>
      </c>
      <c r="I183" s="3">
        <v>400</v>
      </c>
      <c r="J183" s="3">
        <v>650</v>
      </c>
      <c r="K183" s="3">
        <v>3900</v>
      </c>
      <c r="L183" s="3">
        <v>2400</v>
      </c>
      <c r="M183" s="3">
        <v>1500</v>
      </c>
      <c r="N183" s="5">
        <v>0.38461538461538458</v>
      </c>
    </row>
    <row r="184" spans="1:14" x14ac:dyDescent="0.3">
      <c r="A184" t="s">
        <v>322</v>
      </c>
      <c r="B184" s="2">
        <v>45819</v>
      </c>
      <c r="C184" t="s">
        <v>31</v>
      </c>
      <c r="D184" t="s">
        <v>46</v>
      </c>
      <c r="E184" t="s">
        <v>23</v>
      </c>
      <c r="F184" t="s">
        <v>18</v>
      </c>
      <c r="G184" t="s">
        <v>72</v>
      </c>
      <c r="H184">
        <v>7</v>
      </c>
      <c r="I184" s="3">
        <v>900</v>
      </c>
      <c r="J184" s="3">
        <v>1500</v>
      </c>
      <c r="K184" s="3">
        <v>10500</v>
      </c>
      <c r="L184" s="3">
        <v>6300</v>
      </c>
      <c r="M184" s="3">
        <v>4200</v>
      </c>
      <c r="N184" s="5">
        <v>0.4</v>
      </c>
    </row>
    <row r="185" spans="1:14" x14ac:dyDescent="0.3">
      <c r="A185" t="s">
        <v>323</v>
      </c>
      <c r="B185" s="2">
        <v>45794</v>
      </c>
      <c r="C185" t="s">
        <v>156</v>
      </c>
      <c r="D185" t="s">
        <v>40</v>
      </c>
      <c r="E185" t="s">
        <v>55</v>
      </c>
      <c r="F185" t="s">
        <v>18</v>
      </c>
      <c r="G185" t="s">
        <v>72</v>
      </c>
      <c r="H185">
        <v>18</v>
      </c>
      <c r="I185" s="3">
        <v>900</v>
      </c>
      <c r="J185" s="3">
        <v>1500</v>
      </c>
      <c r="K185" s="3">
        <v>27000</v>
      </c>
      <c r="L185" s="3">
        <v>16200</v>
      </c>
      <c r="M185" s="3">
        <v>10800</v>
      </c>
      <c r="N185" s="5">
        <v>0.4</v>
      </c>
    </row>
    <row r="186" spans="1:14" x14ac:dyDescent="0.3">
      <c r="A186" t="s">
        <v>324</v>
      </c>
      <c r="B186" s="2">
        <v>45684</v>
      </c>
      <c r="C186" t="s">
        <v>325</v>
      </c>
      <c r="D186" t="s">
        <v>16</v>
      </c>
      <c r="E186" t="s">
        <v>17</v>
      </c>
      <c r="F186" t="s">
        <v>47</v>
      </c>
      <c r="G186" t="s">
        <v>48</v>
      </c>
      <c r="H186">
        <v>8</v>
      </c>
      <c r="I186" s="3">
        <v>2800</v>
      </c>
      <c r="J186" s="3">
        <v>4200</v>
      </c>
      <c r="K186" s="3">
        <v>33600</v>
      </c>
      <c r="L186" s="3">
        <v>22400</v>
      </c>
      <c r="M186" s="3">
        <v>11200</v>
      </c>
      <c r="N186" s="5">
        <v>0.33333333333333331</v>
      </c>
    </row>
    <row r="187" spans="1:14" x14ac:dyDescent="0.3">
      <c r="A187" t="s">
        <v>326</v>
      </c>
      <c r="B187" s="2">
        <v>45915</v>
      </c>
      <c r="C187" t="s">
        <v>168</v>
      </c>
      <c r="D187" t="s">
        <v>35</v>
      </c>
      <c r="E187" t="s">
        <v>32</v>
      </c>
      <c r="F187" t="s">
        <v>18</v>
      </c>
      <c r="G187" t="s">
        <v>37</v>
      </c>
      <c r="H187">
        <v>17</v>
      </c>
      <c r="I187" s="3">
        <v>400</v>
      </c>
      <c r="J187" s="3">
        <v>650</v>
      </c>
      <c r="K187" s="3">
        <v>11050</v>
      </c>
      <c r="L187" s="3">
        <v>6800</v>
      </c>
      <c r="M187" s="3">
        <v>4250</v>
      </c>
      <c r="N187" s="5">
        <v>0.38461538461538458</v>
      </c>
    </row>
    <row r="188" spans="1:14" x14ac:dyDescent="0.3">
      <c r="A188" t="s">
        <v>327</v>
      </c>
      <c r="B188" s="2">
        <v>45773</v>
      </c>
      <c r="C188" t="s">
        <v>305</v>
      </c>
      <c r="D188" t="s">
        <v>22</v>
      </c>
      <c r="E188" t="s">
        <v>32</v>
      </c>
      <c r="F188" t="s">
        <v>24</v>
      </c>
      <c r="G188" t="s">
        <v>25</v>
      </c>
      <c r="H188">
        <v>17</v>
      </c>
      <c r="I188" s="3">
        <v>15000</v>
      </c>
      <c r="J188" s="3">
        <v>19500</v>
      </c>
      <c r="K188" s="3">
        <v>331500</v>
      </c>
      <c r="L188" s="3">
        <v>255000</v>
      </c>
      <c r="M188" s="3">
        <v>76500</v>
      </c>
      <c r="N188" s="5">
        <v>0.23076923076923081</v>
      </c>
    </row>
    <row r="189" spans="1:14" x14ac:dyDescent="0.3">
      <c r="A189" t="s">
        <v>328</v>
      </c>
      <c r="B189" s="2">
        <v>45788</v>
      </c>
      <c r="C189" t="s">
        <v>44</v>
      </c>
      <c r="D189" t="s">
        <v>46</v>
      </c>
      <c r="E189" t="s">
        <v>17</v>
      </c>
      <c r="F189" t="s">
        <v>18</v>
      </c>
      <c r="G189" t="s">
        <v>60</v>
      </c>
      <c r="H189">
        <v>2</v>
      </c>
      <c r="I189" s="3">
        <v>1800</v>
      </c>
      <c r="J189" s="3">
        <v>2800</v>
      </c>
      <c r="K189" s="3">
        <v>5600</v>
      </c>
      <c r="L189" s="3">
        <v>3600</v>
      </c>
      <c r="M189" s="3">
        <v>2000</v>
      </c>
      <c r="N189" s="5">
        <v>0.35714285714285721</v>
      </c>
    </row>
    <row r="190" spans="1:14" x14ac:dyDescent="0.3">
      <c r="A190" t="s">
        <v>329</v>
      </c>
      <c r="B190" s="2">
        <v>45709</v>
      </c>
      <c r="C190" t="s">
        <v>108</v>
      </c>
      <c r="D190" t="s">
        <v>16</v>
      </c>
      <c r="E190" t="s">
        <v>28</v>
      </c>
      <c r="F190" t="s">
        <v>24</v>
      </c>
      <c r="G190" t="s">
        <v>25</v>
      </c>
      <c r="H190">
        <v>11</v>
      </c>
      <c r="I190" s="3">
        <v>15000</v>
      </c>
      <c r="J190" s="3">
        <v>19500</v>
      </c>
      <c r="K190" s="3">
        <v>214500</v>
      </c>
      <c r="L190" s="3">
        <v>165000</v>
      </c>
      <c r="M190" s="3">
        <v>49500</v>
      </c>
      <c r="N190" s="5">
        <v>0.23076923076923081</v>
      </c>
    </row>
    <row r="191" spans="1:14" x14ac:dyDescent="0.3">
      <c r="A191" t="s">
        <v>330</v>
      </c>
      <c r="B191" s="2">
        <v>45820</v>
      </c>
      <c r="C191" t="s">
        <v>331</v>
      </c>
      <c r="D191" t="s">
        <v>22</v>
      </c>
      <c r="E191" t="s">
        <v>36</v>
      </c>
      <c r="F191" t="s">
        <v>18</v>
      </c>
      <c r="G191" t="s">
        <v>37</v>
      </c>
      <c r="H191">
        <v>7</v>
      </c>
      <c r="I191" s="3">
        <v>400</v>
      </c>
      <c r="J191" s="3">
        <v>650</v>
      </c>
      <c r="K191" s="3">
        <v>4550</v>
      </c>
      <c r="L191" s="3">
        <v>2800</v>
      </c>
      <c r="M191" s="3">
        <v>1750</v>
      </c>
      <c r="N191" s="5">
        <v>0.38461538461538458</v>
      </c>
    </row>
    <row r="192" spans="1:14" x14ac:dyDescent="0.3">
      <c r="A192" t="s">
        <v>332</v>
      </c>
      <c r="B192" s="2">
        <v>45732</v>
      </c>
      <c r="C192" t="s">
        <v>268</v>
      </c>
      <c r="D192" t="s">
        <v>35</v>
      </c>
      <c r="E192" t="s">
        <v>17</v>
      </c>
      <c r="F192" t="s">
        <v>18</v>
      </c>
      <c r="G192" t="s">
        <v>76</v>
      </c>
      <c r="H192">
        <v>8</v>
      </c>
      <c r="I192" s="3">
        <v>2500</v>
      </c>
      <c r="J192" s="3">
        <v>3600</v>
      </c>
      <c r="K192" s="3">
        <v>28800</v>
      </c>
      <c r="L192" s="3">
        <v>20000</v>
      </c>
      <c r="M192" s="3">
        <v>8800</v>
      </c>
      <c r="N192" s="5">
        <v>0.30555555555555558</v>
      </c>
    </row>
    <row r="193" spans="1:14" x14ac:dyDescent="0.3">
      <c r="A193" t="s">
        <v>333</v>
      </c>
      <c r="B193" s="2">
        <v>45802</v>
      </c>
      <c r="C193" t="s">
        <v>325</v>
      </c>
      <c r="D193" t="s">
        <v>35</v>
      </c>
      <c r="E193" t="s">
        <v>17</v>
      </c>
      <c r="F193" t="s">
        <v>18</v>
      </c>
      <c r="G193" t="s">
        <v>72</v>
      </c>
      <c r="H193">
        <v>8</v>
      </c>
      <c r="I193" s="3">
        <v>900</v>
      </c>
      <c r="J193" s="3">
        <v>1500</v>
      </c>
      <c r="K193" s="3">
        <v>12000</v>
      </c>
      <c r="L193" s="3">
        <v>7200</v>
      </c>
      <c r="M193" s="3">
        <v>4800</v>
      </c>
      <c r="N193" s="5">
        <v>0.4</v>
      </c>
    </row>
    <row r="194" spans="1:14" x14ac:dyDescent="0.3">
      <c r="A194" t="s">
        <v>334</v>
      </c>
      <c r="B194" s="2">
        <v>45923</v>
      </c>
      <c r="C194" t="s">
        <v>97</v>
      </c>
      <c r="D194" t="s">
        <v>35</v>
      </c>
      <c r="E194" t="s">
        <v>32</v>
      </c>
      <c r="F194" t="s">
        <v>24</v>
      </c>
      <c r="G194" t="s">
        <v>29</v>
      </c>
      <c r="H194">
        <v>11</v>
      </c>
      <c r="I194" s="3">
        <v>12000</v>
      </c>
      <c r="J194" s="3">
        <v>16500</v>
      </c>
      <c r="K194" s="3">
        <v>181500</v>
      </c>
      <c r="L194" s="3">
        <v>132000</v>
      </c>
      <c r="M194" s="3">
        <v>49500</v>
      </c>
      <c r="N194" s="5">
        <v>0.27272727272727271</v>
      </c>
    </row>
    <row r="195" spans="1:14" x14ac:dyDescent="0.3">
      <c r="A195" t="s">
        <v>335</v>
      </c>
      <c r="B195" s="2">
        <v>46007</v>
      </c>
      <c r="C195" t="s">
        <v>294</v>
      </c>
      <c r="D195" t="s">
        <v>35</v>
      </c>
      <c r="E195" t="s">
        <v>23</v>
      </c>
      <c r="F195" t="s">
        <v>47</v>
      </c>
      <c r="G195" t="s">
        <v>48</v>
      </c>
      <c r="H195">
        <v>16</v>
      </c>
      <c r="I195" s="3">
        <v>2800</v>
      </c>
      <c r="J195" s="3">
        <v>4200</v>
      </c>
      <c r="K195" s="3">
        <v>67200</v>
      </c>
      <c r="L195" s="3">
        <v>44800</v>
      </c>
      <c r="M195" s="3">
        <v>22400</v>
      </c>
      <c r="N195" s="5">
        <v>0.33333333333333331</v>
      </c>
    </row>
    <row r="196" spans="1:14" x14ac:dyDescent="0.3">
      <c r="A196" t="s">
        <v>336</v>
      </c>
      <c r="B196" s="2">
        <v>45667</v>
      </c>
      <c r="C196" t="s">
        <v>272</v>
      </c>
      <c r="D196" t="s">
        <v>22</v>
      </c>
      <c r="E196" t="s">
        <v>55</v>
      </c>
      <c r="F196" t="s">
        <v>18</v>
      </c>
      <c r="G196" t="s">
        <v>60</v>
      </c>
      <c r="H196">
        <v>12</v>
      </c>
      <c r="I196" s="3">
        <v>1800</v>
      </c>
      <c r="J196" s="3">
        <v>2800</v>
      </c>
      <c r="K196" s="3">
        <v>33600</v>
      </c>
      <c r="L196" s="3">
        <v>21600</v>
      </c>
      <c r="M196" s="3">
        <v>12000</v>
      </c>
      <c r="N196" s="5">
        <v>0.35714285714285721</v>
      </c>
    </row>
    <row r="197" spans="1:14" x14ac:dyDescent="0.3">
      <c r="A197" t="s">
        <v>337</v>
      </c>
      <c r="B197" s="2">
        <v>46014</v>
      </c>
      <c r="C197" t="s">
        <v>95</v>
      </c>
      <c r="D197" t="s">
        <v>16</v>
      </c>
      <c r="E197" t="s">
        <v>17</v>
      </c>
      <c r="F197" t="s">
        <v>18</v>
      </c>
      <c r="G197" t="s">
        <v>37</v>
      </c>
      <c r="H197">
        <v>16</v>
      </c>
      <c r="I197" s="3">
        <v>400</v>
      </c>
      <c r="J197" s="3">
        <v>650</v>
      </c>
      <c r="K197" s="3">
        <v>10400</v>
      </c>
      <c r="L197" s="3">
        <v>6400</v>
      </c>
      <c r="M197" s="3">
        <v>4000</v>
      </c>
      <c r="N197" s="5">
        <v>0.38461538461538458</v>
      </c>
    </row>
    <row r="198" spans="1:14" x14ac:dyDescent="0.3">
      <c r="A198" t="s">
        <v>338</v>
      </c>
      <c r="B198" s="2">
        <v>45667</v>
      </c>
      <c r="C198" t="s">
        <v>80</v>
      </c>
      <c r="D198" t="s">
        <v>40</v>
      </c>
      <c r="E198" t="s">
        <v>28</v>
      </c>
      <c r="F198" t="s">
        <v>18</v>
      </c>
      <c r="G198" t="s">
        <v>76</v>
      </c>
      <c r="H198">
        <v>5</v>
      </c>
      <c r="I198" s="3">
        <v>2500</v>
      </c>
      <c r="J198" s="3">
        <v>3600</v>
      </c>
      <c r="K198" s="3">
        <v>18000</v>
      </c>
      <c r="L198" s="3">
        <v>12500</v>
      </c>
      <c r="M198" s="3">
        <v>5500</v>
      </c>
      <c r="N198" s="5">
        <v>0.30555555555555558</v>
      </c>
    </row>
    <row r="199" spans="1:14" x14ac:dyDescent="0.3">
      <c r="A199" t="s">
        <v>339</v>
      </c>
      <c r="B199" s="2">
        <v>46015</v>
      </c>
      <c r="C199" t="s">
        <v>233</v>
      </c>
      <c r="D199" t="s">
        <v>40</v>
      </c>
      <c r="E199" t="s">
        <v>23</v>
      </c>
      <c r="F199" t="s">
        <v>24</v>
      </c>
      <c r="G199" t="s">
        <v>29</v>
      </c>
      <c r="H199">
        <v>14</v>
      </c>
      <c r="I199" s="3">
        <v>12000</v>
      </c>
      <c r="J199" s="3">
        <v>16500</v>
      </c>
      <c r="K199" s="3">
        <v>231000</v>
      </c>
      <c r="L199" s="3">
        <v>168000</v>
      </c>
      <c r="M199" s="3">
        <v>63000</v>
      </c>
      <c r="N199" s="5">
        <v>0.27272727272727271</v>
      </c>
    </row>
    <row r="200" spans="1:14" x14ac:dyDescent="0.3">
      <c r="A200" t="s">
        <v>340</v>
      </c>
      <c r="B200" s="2">
        <v>45855</v>
      </c>
      <c r="C200" t="s">
        <v>252</v>
      </c>
      <c r="D200" t="s">
        <v>16</v>
      </c>
      <c r="E200" t="s">
        <v>28</v>
      </c>
      <c r="F200" t="s">
        <v>18</v>
      </c>
      <c r="G200" t="s">
        <v>19</v>
      </c>
      <c r="H200">
        <v>4</v>
      </c>
      <c r="I200" s="3">
        <v>1800</v>
      </c>
      <c r="J200" s="3">
        <v>2600</v>
      </c>
      <c r="K200" s="3">
        <v>10400</v>
      </c>
      <c r="L200" s="3">
        <v>7200</v>
      </c>
      <c r="M200" s="3">
        <v>3200</v>
      </c>
      <c r="N200" s="5">
        <v>0.30769230769230771</v>
      </c>
    </row>
    <row r="201" spans="1:14" x14ac:dyDescent="0.3">
      <c r="A201" t="s">
        <v>341</v>
      </c>
      <c r="B201" s="2">
        <v>45836</v>
      </c>
      <c r="C201" t="s">
        <v>119</v>
      </c>
      <c r="D201" t="s">
        <v>22</v>
      </c>
      <c r="E201" t="s">
        <v>55</v>
      </c>
      <c r="F201" t="s">
        <v>41</v>
      </c>
      <c r="G201" t="s">
        <v>42</v>
      </c>
      <c r="H201">
        <v>14</v>
      </c>
      <c r="I201" s="3">
        <v>8500</v>
      </c>
      <c r="J201" s="3">
        <v>12000</v>
      </c>
      <c r="K201" s="3">
        <v>168000</v>
      </c>
      <c r="L201" s="3">
        <v>119000</v>
      </c>
      <c r="M201" s="3">
        <v>49000</v>
      </c>
      <c r="N201" s="5">
        <v>0.29166666666666669</v>
      </c>
    </row>
    <row r="202" spans="1:14" x14ac:dyDescent="0.3">
      <c r="A202" t="s">
        <v>342</v>
      </c>
      <c r="B202" s="2">
        <v>45972</v>
      </c>
      <c r="C202" t="s">
        <v>218</v>
      </c>
      <c r="D202" t="s">
        <v>40</v>
      </c>
      <c r="E202" t="s">
        <v>32</v>
      </c>
      <c r="F202" t="s">
        <v>18</v>
      </c>
      <c r="G202" t="s">
        <v>72</v>
      </c>
      <c r="H202">
        <v>11</v>
      </c>
      <c r="I202" s="3">
        <v>900</v>
      </c>
      <c r="J202" s="3">
        <v>1500</v>
      </c>
      <c r="K202" s="3">
        <v>16500</v>
      </c>
      <c r="L202" s="3">
        <v>9900</v>
      </c>
      <c r="M202" s="3">
        <v>6600</v>
      </c>
      <c r="N202" s="5">
        <v>0.4</v>
      </c>
    </row>
    <row r="203" spans="1:14" x14ac:dyDescent="0.3">
      <c r="A203" t="s">
        <v>343</v>
      </c>
      <c r="B203" s="2">
        <v>45707</v>
      </c>
      <c r="C203" t="s">
        <v>154</v>
      </c>
      <c r="D203" t="s">
        <v>40</v>
      </c>
      <c r="E203" t="s">
        <v>17</v>
      </c>
      <c r="F203" t="s">
        <v>18</v>
      </c>
      <c r="G203" t="s">
        <v>19</v>
      </c>
      <c r="H203">
        <v>3</v>
      </c>
      <c r="I203" s="3">
        <v>1800</v>
      </c>
      <c r="J203" s="3">
        <v>2600</v>
      </c>
      <c r="K203" s="3">
        <v>7800</v>
      </c>
      <c r="L203" s="3">
        <v>5400</v>
      </c>
      <c r="M203" s="3">
        <v>2400</v>
      </c>
      <c r="N203" s="5">
        <v>0.30769230769230771</v>
      </c>
    </row>
    <row r="204" spans="1:14" x14ac:dyDescent="0.3">
      <c r="A204" t="s">
        <v>344</v>
      </c>
      <c r="B204" s="2">
        <v>45943</v>
      </c>
      <c r="C204" t="s">
        <v>307</v>
      </c>
      <c r="D204" t="s">
        <v>35</v>
      </c>
      <c r="E204" t="s">
        <v>36</v>
      </c>
      <c r="F204" t="s">
        <v>18</v>
      </c>
      <c r="G204" t="s">
        <v>76</v>
      </c>
      <c r="H204">
        <v>7</v>
      </c>
      <c r="I204" s="3">
        <v>2500</v>
      </c>
      <c r="J204" s="3">
        <v>3600</v>
      </c>
      <c r="K204" s="3">
        <v>25200</v>
      </c>
      <c r="L204" s="3">
        <v>17500</v>
      </c>
      <c r="M204" s="3">
        <v>7700</v>
      </c>
      <c r="N204" s="5">
        <v>0.30555555555555558</v>
      </c>
    </row>
    <row r="205" spans="1:14" x14ac:dyDescent="0.3">
      <c r="A205" t="s">
        <v>345</v>
      </c>
      <c r="B205" s="2">
        <v>45884</v>
      </c>
      <c r="C205" t="s">
        <v>346</v>
      </c>
      <c r="D205" t="s">
        <v>16</v>
      </c>
      <c r="E205" t="s">
        <v>23</v>
      </c>
      <c r="F205" t="s">
        <v>18</v>
      </c>
      <c r="G205" t="s">
        <v>37</v>
      </c>
      <c r="H205">
        <v>13</v>
      </c>
      <c r="I205" s="3">
        <v>400</v>
      </c>
      <c r="J205" s="3">
        <v>650</v>
      </c>
      <c r="K205" s="3">
        <v>8450</v>
      </c>
      <c r="L205" s="3">
        <v>5200</v>
      </c>
      <c r="M205" s="3">
        <v>3250</v>
      </c>
      <c r="N205" s="5">
        <v>0.38461538461538458</v>
      </c>
    </row>
    <row r="206" spans="1:14" x14ac:dyDescent="0.3">
      <c r="A206" t="s">
        <v>347</v>
      </c>
      <c r="B206" s="2">
        <v>45775</v>
      </c>
      <c r="C206" t="s">
        <v>138</v>
      </c>
      <c r="D206" t="s">
        <v>16</v>
      </c>
      <c r="E206" t="s">
        <v>55</v>
      </c>
      <c r="F206" t="s">
        <v>18</v>
      </c>
      <c r="G206" t="s">
        <v>60</v>
      </c>
      <c r="H206">
        <v>8</v>
      </c>
      <c r="I206" s="3">
        <v>1800</v>
      </c>
      <c r="J206" s="3">
        <v>2800</v>
      </c>
      <c r="K206" s="3">
        <v>22400</v>
      </c>
      <c r="L206" s="3">
        <v>14400</v>
      </c>
      <c r="M206" s="3">
        <v>8000</v>
      </c>
      <c r="N206" s="5">
        <v>0.35714285714285721</v>
      </c>
    </row>
    <row r="207" spans="1:14" x14ac:dyDescent="0.3">
      <c r="A207" t="s">
        <v>348</v>
      </c>
      <c r="B207" s="2">
        <v>45879</v>
      </c>
      <c r="C207" t="s">
        <v>349</v>
      </c>
      <c r="D207" t="s">
        <v>40</v>
      </c>
      <c r="E207" t="s">
        <v>32</v>
      </c>
      <c r="F207" t="s">
        <v>18</v>
      </c>
      <c r="G207" t="s">
        <v>60</v>
      </c>
      <c r="H207">
        <v>11</v>
      </c>
      <c r="I207" s="3">
        <v>1800</v>
      </c>
      <c r="J207" s="3">
        <v>2800</v>
      </c>
      <c r="K207" s="3">
        <v>30800</v>
      </c>
      <c r="L207" s="3">
        <v>19800</v>
      </c>
      <c r="M207" s="3">
        <v>11000</v>
      </c>
      <c r="N207" s="5">
        <v>0.35714285714285721</v>
      </c>
    </row>
    <row r="208" spans="1:14" x14ac:dyDescent="0.3">
      <c r="A208" t="s">
        <v>350</v>
      </c>
      <c r="B208" s="2">
        <v>45699</v>
      </c>
      <c r="C208" t="s">
        <v>351</v>
      </c>
      <c r="D208" t="s">
        <v>40</v>
      </c>
      <c r="E208" t="s">
        <v>55</v>
      </c>
      <c r="F208" t="s">
        <v>24</v>
      </c>
      <c r="G208" t="s">
        <v>63</v>
      </c>
      <c r="H208">
        <v>7</v>
      </c>
      <c r="I208" s="3">
        <v>42000</v>
      </c>
      <c r="J208" s="3">
        <v>55000</v>
      </c>
      <c r="K208" s="3">
        <v>385000</v>
      </c>
      <c r="L208" s="3">
        <v>294000</v>
      </c>
      <c r="M208" s="3">
        <v>91000</v>
      </c>
      <c r="N208" s="5">
        <v>0.23636363636363639</v>
      </c>
    </row>
    <row r="209" spans="1:14" x14ac:dyDescent="0.3">
      <c r="A209" t="s">
        <v>352</v>
      </c>
      <c r="B209" s="2">
        <v>45781</v>
      </c>
      <c r="C209" t="s">
        <v>270</v>
      </c>
      <c r="D209" t="s">
        <v>35</v>
      </c>
      <c r="E209" t="s">
        <v>17</v>
      </c>
      <c r="F209" t="s">
        <v>18</v>
      </c>
      <c r="G209" t="s">
        <v>19</v>
      </c>
      <c r="H209">
        <v>7</v>
      </c>
      <c r="I209" s="3">
        <v>1800</v>
      </c>
      <c r="J209" s="3">
        <v>2600</v>
      </c>
      <c r="K209" s="3">
        <v>18200</v>
      </c>
      <c r="L209" s="3">
        <v>12600</v>
      </c>
      <c r="M209" s="3">
        <v>5600</v>
      </c>
      <c r="N209" s="5">
        <v>0.30769230769230771</v>
      </c>
    </row>
    <row r="210" spans="1:14" x14ac:dyDescent="0.3">
      <c r="A210" t="s">
        <v>353</v>
      </c>
      <c r="B210" s="2">
        <v>45783</v>
      </c>
      <c r="C210" t="s">
        <v>161</v>
      </c>
      <c r="D210" t="s">
        <v>35</v>
      </c>
      <c r="E210" t="s">
        <v>28</v>
      </c>
      <c r="F210" t="s">
        <v>18</v>
      </c>
      <c r="G210" t="s">
        <v>19</v>
      </c>
      <c r="H210">
        <v>12</v>
      </c>
      <c r="I210" s="3">
        <v>1800</v>
      </c>
      <c r="J210" s="3">
        <v>2600</v>
      </c>
      <c r="K210" s="3">
        <v>31200</v>
      </c>
      <c r="L210" s="3">
        <v>21600</v>
      </c>
      <c r="M210" s="3">
        <v>9600</v>
      </c>
      <c r="N210" s="5">
        <v>0.30769230769230771</v>
      </c>
    </row>
    <row r="211" spans="1:14" x14ac:dyDescent="0.3">
      <c r="A211" t="s">
        <v>354</v>
      </c>
      <c r="B211" s="2">
        <v>45861</v>
      </c>
      <c r="C211" t="s">
        <v>233</v>
      </c>
      <c r="D211" t="s">
        <v>46</v>
      </c>
      <c r="E211" t="s">
        <v>23</v>
      </c>
      <c r="F211" t="s">
        <v>41</v>
      </c>
      <c r="G211" t="s">
        <v>42</v>
      </c>
      <c r="H211">
        <v>13</v>
      </c>
      <c r="I211" s="3">
        <v>8500</v>
      </c>
      <c r="J211" s="3">
        <v>12000</v>
      </c>
      <c r="K211" s="3">
        <v>156000</v>
      </c>
      <c r="L211" s="3">
        <v>110500</v>
      </c>
      <c r="M211" s="3">
        <v>45500</v>
      </c>
      <c r="N211" s="5">
        <v>0.29166666666666669</v>
      </c>
    </row>
    <row r="212" spans="1:14" x14ac:dyDescent="0.3">
      <c r="A212" t="s">
        <v>355</v>
      </c>
      <c r="B212" s="2">
        <v>45990</v>
      </c>
      <c r="C212" t="s">
        <v>83</v>
      </c>
      <c r="D212" t="s">
        <v>22</v>
      </c>
      <c r="E212" t="s">
        <v>36</v>
      </c>
      <c r="F212" t="s">
        <v>24</v>
      </c>
      <c r="G212" t="s">
        <v>29</v>
      </c>
      <c r="H212">
        <v>13</v>
      </c>
      <c r="I212" s="3">
        <v>12000</v>
      </c>
      <c r="J212" s="3">
        <v>16500</v>
      </c>
      <c r="K212" s="3">
        <v>214500</v>
      </c>
      <c r="L212" s="3">
        <v>156000</v>
      </c>
      <c r="M212" s="3">
        <v>58500</v>
      </c>
      <c r="N212" s="5">
        <v>0.27272727272727271</v>
      </c>
    </row>
    <row r="213" spans="1:14" x14ac:dyDescent="0.3">
      <c r="A213" t="s">
        <v>356</v>
      </c>
      <c r="B213" s="2">
        <v>45783</v>
      </c>
      <c r="C213" t="s">
        <v>357</v>
      </c>
      <c r="D213" t="s">
        <v>22</v>
      </c>
      <c r="E213" t="s">
        <v>32</v>
      </c>
      <c r="F213" t="s">
        <v>24</v>
      </c>
      <c r="G213" t="s">
        <v>25</v>
      </c>
      <c r="H213">
        <v>5</v>
      </c>
      <c r="I213" s="3">
        <v>15000</v>
      </c>
      <c r="J213" s="3">
        <v>19500</v>
      </c>
      <c r="K213" s="3">
        <v>97500</v>
      </c>
      <c r="L213" s="3">
        <v>75000</v>
      </c>
      <c r="M213" s="3">
        <v>22500</v>
      </c>
      <c r="N213" s="5">
        <v>0.23076923076923081</v>
      </c>
    </row>
    <row r="214" spans="1:14" x14ac:dyDescent="0.3">
      <c r="A214" t="s">
        <v>358</v>
      </c>
      <c r="B214" s="2">
        <v>45689</v>
      </c>
      <c r="C214" t="s">
        <v>359</v>
      </c>
      <c r="D214" t="s">
        <v>22</v>
      </c>
      <c r="E214" t="s">
        <v>28</v>
      </c>
      <c r="F214" t="s">
        <v>24</v>
      </c>
      <c r="G214" t="s">
        <v>63</v>
      </c>
      <c r="H214">
        <v>5</v>
      </c>
      <c r="I214" s="3">
        <v>42000</v>
      </c>
      <c r="J214" s="3">
        <v>55000</v>
      </c>
      <c r="K214" s="3">
        <v>275000</v>
      </c>
      <c r="L214" s="3">
        <v>210000</v>
      </c>
      <c r="M214" s="3">
        <v>65000</v>
      </c>
      <c r="N214" s="5">
        <v>0.23636363636363639</v>
      </c>
    </row>
    <row r="215" spans="1:14" x14ac:dyDescent="0.3">
      <c r="A215" t="s">
        <v>360</v>
      </c>
      <c r="B215" s="2">
        <v>45751</v>
      </c>
      <c r="C215" t="s">
        <v>361</v>
      </c>
      <c r="D215" t="s">
        <v>46</v>
      </c>
      <c r="E215" t="s">
        <v>55</v>
      </c>
      <c r="F215" t="s">
        <v>41</v>
      </c>
      <c r="G215" t="s">
        <v>42</v>
      </c>
      <c r="H215">
        <v>6</v>
      </c>
      <c r="I215" s="3">
        <v>8500</v>
      </c>
      <c r="J215" s="3">
        <v>12000</v>
      </c>
      <c r="K215" s="3">
        <v>72000</v>
      </c>
      <c r="L215" s="3">
        <v>51000</v>
      </c>
      <c r="M215" s="3">
        <v>21000</v>
      </c>
      <c r="N215" s="5">
        <v>0.29166666666666669</v>
      </c>
    </row>
    <row r="216" spans="1:14" x14ac:dyDescent="0.3">
      <c r="A216" t="s">
        <v>362</v>
      </c>
      <c r="B216" s="2">
        <v>45870</v>
      </c>
      <c r="C216" t="s">
        <v>180</v>
      </c>
      <c r="D216" t="s">
        <v>40</v>
      </c>
      <c r="E216" t="s">
        <v>28</v>
      </c>
      <c r="F216" t="s">
        <v>24</v>
      </c>
      <c r="G216" t="s">
        <v>29</v>
      </c>
      <c r="H216">
        <v>16</v>
      </c>
      <c r="I216" s="3">
        <v>12000</v>
      </c>
      <c r="J216" s="3">
        <v>16500</v>
      </c>
      <c r="K216" s="3">
        <v>264000</v>
      </c>
      <c r="L216" s="3">
        <v>192000</v>
      </c>
      <c r="M216" s="3">
        <v>72000</v>
      </c>
      <c r="N216" s="5">
        <v>0.27272727272727271</v>
      </c>
    </row>
    <row r="217" spans="1:14" x14ac:dyDescent="0.3">
      <c r="A217" t="s">
        <v>363</v>
      </c>
      <c r="B217" s="2">
        <v>45967</v>
      </c>
      <c r="C217" t="s">
        <v>364</v>
      </c>
      <c r="D217" t="s">
        <v>46</v>
      </c>
      <c r="E217" t="s">
        <v>17</v>
      </c>
      <c r="F217" t="s">
        <v>18</v>
      </c>
      <c r="G217" t="s">
        <v>37</v>
      </c>
      <c r="H217">
        <v>20</v>
      </c>
      <c r="I217" s="3">
        <v>400</v>
      </c>
      <c r="J217" s="3">
        <v>650</v>
      </c>
      <c r="K217" s="3">
        <v>13000</v>
      </c>
      <c r="L217" s="3">
        <v>8000</v>
      </c>
      <c r="M217" s="3">
        <v>5000</v>
      </c>
      <c r="N217" s="5">
        <v>0.38461538461538458</v>
      </c>
    </row>
    <row r="218" spans="1:14" x14ac:dyDescent="0.3">
      <c r="A218" t="s">
        <v>365</v>
      </c>
      <c r="B218" s="2">
        <v>46008</v>
      </c>
      <c r="C218" t="s">
        <v>71</v>
      </c>
      <c r="D218" t="s">
        <v>40</v>
      </c>
      <c r="E218" t="s">
        <v>36</v>
      </c>
      <c r="F218" t="s">
        <v>47</v>
      </c>
      <c r="G218" t="s">
        <v>48</v>
      </c>
      <c r="H218">
        <v>3</v>
      </c>
      <c r="I218" s="3">
        <v>2800</v>
      </c>
      <c r="J218" s="3">
        <v>4200</v>
      </c>
      <c r="K218" s="3">
        <v>12600</v>
      </c>
      <c r="L218" s="3">
        <v>8400</v>
      </c>
      <c r="M218" s="3">
        <v>4200</v>
      </c>
      <c r="N218" s="5">
        <v>0.33333333333333331</v>
      </c>
    </row>
    <row r="219" spans="1:14" x14ac:dyDescent="0.3">
      <c r="A219" t="s">
        <v>366</v>
      </c>
      <c r="B219" s="2">
        <v>45789</v>
      </c>
      <c r="C219" t="s">
        <v>367</v>
      </c>
      <c r="D219" t="s">
        <v>46</v>
      </c>
      <c r="E219" t="s">
        <v>55</v>
      </c>
      <c r="F219" t="s">
        <v>18</v>
      </c>
      <c r="G219" t="s">
        <v>76</v>
      </c>
      <c r="H219">
        <v>8</v>
      </c>
      <c r="I219" s="3">
        <v>2500</v>
      </c>
      <c r="J219" s="3">
        <v>3600</v>
      </c>
      <c r="K219" s="3">
        <v>28800</v>
      </c>
      <c r="L219" s="3">
        <v>20000</v>
      </c>
      <c r="M219" s="3">
        <v>8800</v>
      </c>
      <c r="N219" s="5">
        <v>0.30555555555555558</v>
      </c>
    </row>
    <row r="220" spans="1:14" x14ac:dyDescent="0.3">
      <c r="A220" t="s">
        <v>368</v>
      </c>
      <c r="B220" s="2">
        <v>45682</v>
      </c>
      <c r="C220" t="s">
        <v>369</v>
      </c>
      <c r="D220" t="s">
        <v>22</v>
      </c>
      <c r="E220" t="s">
        <v>23</v>
      </c>
      <c r="F220" t="s">
        <v>18</v>
      </c>
      <c r="G220" t="s">
        <v>72</v>
      </c>
      <c r="H220">
        <v>19</v>
      </c>
      <c r="I220" s="3">
        <v>900</v>
      </c>
      <c r="J220" s="3">
        <v>1500</v>
      </c>
      <c r="K220" s="3">
        <v>28500</v>
      </c>
      <c r="L220" s="3">
        <v>17100</v>
      </c>
      <c r="M220" s="3">
        <v>11400</v>
      </c>
      <c r="N220" s="5">
        <v>0.4</v>
      </c>
    </row>
    <row r="221" spans="1:14" x14ac:dyDescent="0.3">
      <c r="A221" t="s">
        <v>370</v>
      </c>
      <c r="B221" s="2">
        <v>45689</v>
      </c>
      <c r="C221" t="s">
        <v>371</v>
      </c>
      <c r="D221" t="s">
        <v>46</v>
      </c>
      <c r="E221" t="s">
        <v>17</v>
      </c>
      <c r="F221" t="s">
        <v>18</v>
      </c>
      <c r="G221" t="s">
        <v>60</v>
      </c>
      <c r="H221">
        <v>14</v>
      </c>
      <c r="I221" s="3">
        <v>1800</v>
      </c>
      <c r="J221" s="3">
        <v>2800</v>
      </c>
      <c r="K221" s="3">
        <v>39200</v>
      </c>
      <c r="L221" s="3">
        <v>25200</v>
      </c>
      <c r="M221" s="3">
        <v>14000</v>
      </c>
      <c r="N221" s="5">
        <v>0.35714285714285721</v>
      </c>
    </row>
    <row r="222" spans="1:14" x14ac:dyDescent="0.3">
      <c r="A222" t="s">
        <v>372</v>
      </c>
      <c r="B222" s="2">
        <v>46001</v>
      </c>
      <c r="C222" t="s">
        <v>104</v>
      </c>
      <c r="D222" t="s">
        <v>22</v>
      </c>
      <c r="E222" t="s">
        <v>36</v>
      </c>
      <c r="F222" t="s">
        <v>18</v>
      </c>
      <c r="G222" t="s">
        <v>19</v>
      </c>
      <c r="H222">
        <v>15</v>
      </c>
      <c r="I222" s="3">
        <v>1800</v>
      </c>
      <c r="J222" s="3">
        <v>2600</v>
      </c>
      <c r="K222" s="3">
        <v>39000</v>
      </c>
      <c r="L222" s="3">
        <v>27000</v>
      </c>
      <c r="M222" s="3">
        <v>12000</v>
      </c>
      <c r="N222" s="5">
        <v>0.30769230769230771</v>
      </c>
    </row>
    <row r="223" spans="1:14" x14ac:dyDescent="0.3">
      <c r="A223" t="s">
        <v>373</v>
      </c>
      <c r="B223" s="2">
        <v>46009</v>
      </c>
      <c r="C223" t="s">
        <v>374</v>
      </c>
      <c r="D223" t="s">
        <v>22</v>
      </c>
      <c r="E223" t="s">
        <v>17</v>
      </c>
      <c r="F223" t="s">
        <v>18</v>
      </c>
      <c r="G223" t="s">
        <v>19</v>
      </c>
      <c r="H223">
        <v>5</v>
      </c>
      <c r="I223" s="3">
        <v>1800</v>
      </c>
      <c r="J223" s="3">
        <v>2600</v>
      </c>
      <c r="K223" s="3">
        <v>13000</v>
      </c>
      <c r="L223" s="3">
        <v>9000</v>
      </c>
      <c r="M223" s="3">
        <v>4000</v>
      </c>
      <c r="N223" s="5">
        <v>0.30769230769230771</v>
      </c>
    </row>
    <row r="224" spans="1:14" x14ac:dyDescent="0.3">
      <c r="A224" t="s">
        <v>375</v>
      </c>
      <c r="B224" s="2">
        <v>45803</v>
      </c>
      <c r="C224" t="s">
        <v>180</v>
      </c>
      <c r="D224" t="s">
        <v>35</v>
      </c>
      <c r="E224" t="s">
        <v>28</v>
      </c>
      <c r="F224" t="s">
        <v>24</v>
      </c>
      <c r="G224" t="s">
        <v>29</v>
      </c>
      <c r="H224">
        <v>1</v>
      </c>
      <c r="I224" s="3">
        <v>12000</v>
      </c>
      <c r="J224" s="3">
        <v>16500</v>
      </c>
      <c r="K224" s="3">
        <v>16500</v>
      </c>
      <c r="L224" s="3">
        <v>12000</v>
      </c>
      <c r="M224" s="3">
        <v>4500</v>
      </c>
      <c r="N224" s="5">
        <v>0.27272727272727271</v>
      </c>
    </row>
    <row r="225" spans="1:14" x14ac:dyDescent="0.3">
      <c r="A225" t="s">
        <v>376</v>
      </c>
      <c r="B225" s="2">
        <v>45919</v>
      </c>
      <c r="C225" t="s">
        <v>357</v>
      </c>
      <c r="D225" t="s">
        <v>35</v>
      </c>
      <c r="E225" t="s">
        <v>55</v>
      </c>
      <c r="F225" t="s">
        <v>18</v>
      </c>
      <c r="G225" t="s">
        <v>37</v>
      </c>
      <c r="H225">
        <v>2</v>
      </c>
      <c r="I225" s="3">
        <v>400</v>
      </c>
      <c r="J225" s="3">
        <v>650</v>
      </c>
      <c r="K225" s="3">
        <v>1300</v>
      </c>
      <c r="L225" s="3">
        <v>800</v>
      </c>
      <c r="M225" s="3">
        <v>500</v>
      </c>
      <c r="N225" s="5">
        <v>0.38461538461538458</v>
      </c>
    </row>
    <row r="226" spans="1:14" x14ac:dyDescent="0.3">
      <c r="A226" t="s">
        <v>377</v>
      </c>
      <c r="B226" s="2">
        <v>45796</v>
      </c>
      <c r="C226" t="s">
        <v>121</v>
      </c>
      <c r="D226" t="s">
        <v>35</v>
      </c>
      <c r="E226" t="s">
        <v>36</v>
      </c>
      <c r="F226" t="s">
        <v>18</v>
      </c>
      <c r="G226" t="s">
        <v>76</v>
      </c>
      <c r="H226">
        <v>15</v>
      </c>
      <c r="I226" s="3">
        <v>2500</v>
      </c>
      <c r="J226" s="3">
        <v>3600</v>
      </c>
      <c r="K226" s="3">
        <v>54000</v>
      </c>
      <c r="L226" s="3">
        <v>37500</v>
      </c>
      <c r="M226" s="3">
        <v>16500</v>
      </c>
      <c r="N226" s="5">
        <v>0.30555555555555558</v>
      </c>
    </row>
    <row r="227" spans="1:14" x14ac:dyDescent="0.3">
      <c r="A227" t="s">
        <v>378</v>
      </c>
      <c r="B227" s="2">
        <v>45848</v>
      </c>
      <c r="C227" t="s">
        <v>379</v>
      </c>
      <c r="D227" t="s">
        <v>35</v>
      </c>
      <c r="E227" t="s">
        <v>55</v>
      </c>
      <c r="F227" t="s">
        <v>18</v>
      </c>
      <c r="G227" t="s">
        <v>19</v>
      </c>
      <c r="H227">
        <v>18</v>
      </c>
      <c r="I227" s="3">
        <v>1800</v>
      </c>
      <c r="J227" s="3">
        <v>2600</v>
      </c>
      <c r="K227" s="3">
        <v>46800</v>
      </c>
      <c r="L227" s="3">
        <v>32400</v>
      </c>
      <c r="M227" s="3">
        <v>14400</v>
      </c>
      <c r="N227" s="5">
        <v>0.30769230769230771</v>
      </c>
    </row>
    <row r="228" spans="1:14" x14ac:dyDescent="0.3">
      <c r="A228" t="s">
        <v>380</v>
      </c>
      <c r="B228" s="2">
        <v>45747</v>
      </c>
      <c r="C228" t="s">
        <v>69</v>
      </c>
      <c r="D228" t="s">
        <v>16</v>
      </c>
      <c r="E228" t="s">
        <v>23</v>
      </c>
      <c r="F228" t="s">
        <v>24</v>
      </c>
      <c r="G228" t="s">
        <v>25</v>
      </c>
      <c r="H228">
        <v>13</v>
      </c>
      <c r="I228" s="3">
        <v>15000</v>
      </c>
      <c r="J228" s="3">
        <v>19500</v>
      </c>
      <c r="K228" s="3">
        <v>253500</v>
      </c>
      <c r="L228" s="3">
        <v>195000</v>
      </c>
      <c r="M228" s="3">
        <v>58500</v>
      </c>
      <c r="N228" s="5">
        <v>0.23076923076923081</v>
      </c>
    </row>
    <row r="229" spans="1:14" x14ac:dyDescent="0.3">
      <c r="A229" t="s">
        <v>381</v>
      </c>
      <c r="B229" s="2">
        <v>46008</v>
      </c>
      <c r="C229" t="s">
        <v>144</v>
      </c>
      <c r="D229" t="s">
        <v>35</v>
      </c>
      <c r="E229" t="s">
        <v>32</v>
      </c>
      <c r="F229" t="s">
        <v>24</v>
      </c>
      <c r="G229" t="s">
        <v>29</v>
      </c>
      <c r="H229">
        <v>20</v>
      </c>
      <c r="I229" s="3">
        <v>12000</v>
      </c>
      <c r="J229" s="3">
        <v>16500</v>
      </c>
      <c r="K229" s="3">
        <v>330000</v>
      </c>
      <c r="L229" s="3">
        <v>240000</v>
      </c>
      <c r="M229" s="3">
        <v>90000</v>
      </c>
      <c r="N229" s="5">
        <v>0.27272727272727271</v>
      </c>
    </row>
    <row r="230" spans="1:14" x14ac:dyDescent="0.3">
      <c r="A230" t="s">
        <v>382</v>
      </c>
      <c r="B230" s="2">
        <v>45865</v>
      </c>
      <c r="C230" t="s">
        <v>80</v>
      </c>
      <c r="D230" t="s">
        <v>46</v>
      </c>
      <c r="E230" t="s">
        <v>23</v>
      </c>
      <c r="F230" t="s">
        <v>18</v>
      </c>
      <c r="G230" t="s">
        <v>37</v>
      </c>
      <c r="H230">
        <v>17</v>
      </c>
      <c r="I230" s="3">
        <v>400</v>
      </c>
      <c r="J230" s="3">
        <v>650</v>
      </c>
      <c r="K230" s="3">
        <v>11050</v>
      </c>
      <c r="L230" s="3">
        <v>6800</v>
      </c>
      <c r="M230" s="3">
        <v>4250</v>
      </c>
      <c r="N230" s="5">
        <v>0.38461538461538458</v>
      </c>
    </row>
    <row r="231" spans="1:14" x14ac:dyDescent="0.3">
      <c r="A231" t="s">
        <v>383</v>
      </c>
      <c r="B231" s="2">
        <v>45704</v>
      </c>
      <c r="C231" t="s">
        <v>186</v>
      </c>
      <c r="D231" t="s">
        <v>46</v>
      </c>
      <c r="E231" t="s">
        <v>55</v>
      </c>
      <c r="F231" t="s">
        <v>41</v>
      </c>
      <c r="G231" t="s">
        <v>42</v>
      </c>
      <c r="H231">
        <v>19</v>
      </c>
      <c r="I231" s="3">
        <v>8500</v>
      </c>
      <c r="J231" s="3">
        <v>12000</v>
      </c>
      <c r="K231" s="3">
        <v>228000</v>
      </c>
      <c r="L231" s="3">
        <v>161500</v>
      </c>
      <c r="M231" s="3">
        <v>66500</v>
      </c>
      <c r="N231" s="5">
        <v>0.29166666666666669</v>
      </c>
    </row>
    <row r="232" spans="1:14" x14ac:dyDescent="0.3">
      <c r="A232" t="s">
        <v>384</v>
      </c>
      <c r="B232" s="2">
        <v>45982</v>
      </c>
      <c r="C232" t="s">
        <v>385</v>
      </c>
      <c r="D232" t="s">
        <v>16</v>
      </c>
      <c r="E232" t="s">
        <v>23</v>
      </c>
      <c r="F232" t="s">
        <v>18</v>
      </c>
      <c r="G232" t="s">
        <v>76</v>
      </c>
      <c r="H232">
        <v>18</v>
      </c>
      <c r="I232" s="3">
        <v>2500</v>
      </c>
      <c r="J232" s="3">
        <v>3600</v>
      </c>
      <c r="K232" s="3">
        <v>64800</v>
      </c>
      <c r="L232" s="3">
        <v>45000</v>
      </c>
      <c r="M232" s="3">
        <v>19800</v>
      </c>
      <c r="N232" s="5">
        <v>0.30555555555555558</v>
      </c>
    </row>
    <row r="233" spans="1:14" x14ac:dyDescent="0.3">
      <c r="A233" t="s">
        <v>386</v>
      </c>
      <c r="B233" s="2">
        <v>45892</v>
      </c>
      <c r="C233" t="s">
        <v>200</v>
      </c>
      <c r="D233" t="s">
        <v>46</v>
      </c>
      <c r="E233" t="s">
        <v>23</v>
      </c>
      <c r="F233" t="s">
        <v>24</v>
      </c>
      <c r="G233" t="s">
        <v>63</v>
      </c>
      <c r="H233">
        <v>9</v>
      </c>
      <c r="I233" s="3">
        <v>42000</v>
      </c>
      <c r="J233" s="3">
        <v>55000</v>
      </c>
      <c r="K233" s="3">
        <v>495000</v>
      </c>
      <c r="L233" s="3">
        <v>378000</v>
      </c>
      <c r="M233" s="3">
        <v>117000</v>
      </c>
      <c r="N233" s="5">
        <v>0.23636363636363639</v>
      </c>
    </row>
    <row r="234" spans="1:14" x14ac:dyDescent="0.3">
      <c r="A234" t="s">
        <v>387</v>
      </c>
      <c r="B234" s="2">
        <v>45678</v>
      </c>
      <c r="C234" t="s">
        <v>388</v>
      </c>
      <c r="D234" t="s">
        <v>46</v>
      </c>
      <c r="E234" t="s">
        <v>36</v>
      </c>
      <c r="F234" t="s">
        <v>18</v>
      </c>
      <c r="G234" t="s">
        <v>37</v>
      </c>
      <c r="H234">
        <v>18</v>
      </c>
      <c r="I234" s="3">
        <v>400</v>
      </c>
      <c r="J234" s="3">
        <v>650</v>
      </c>
      <c r="K234" s="3">
        <v>11700</v>
      </c>
      <c r="L234" s="3">
        <v>7200</v>
      </c>
      <c r="M234" s="3">
        <v>4500</v>
      </c>
      <c r="N234" s="5">
        <v>0.38461538461538458</v>
      </c>
    </row>
    <row r="235" spans="1:14" x14ac:dyDescent="0.3">
      <c r="A235" t="s">
        <v>389</v>
      </c>
      <c r="B235" s="2">
        <v>45836</v>
      </c>
      <c r="C235" t="s">
        <v>140</v>
      </c>
      <c r="D235" t="s">
        <v>16</v>
      </c>
      <c r="E235" t="s">
        <v>55</v>
      </c>
      <c r="F235" t="s">
        <v>24</v>
      </c>
      <c r="G235" t="s">
        <v>29</v>
      </c>
      <c r="H235">
        <v>5</v>
      </c>
      <c r="I235" s="3">
        <v>12000</v>
      </c>
      <c r="J235" s="3">
        <v>16500</v>
      </c>
      <c r="K235" s="3">
        <v>82500</v>
      </c>
      <c r="L235" s="3">
        <v>60000</v>
      </c>
      <c r="M235" s="3">
        <v>22500</v>
      </c>
      <c r="N235" s="5">
        <v>0.27272727272727271</v>
      </c>
    </row>
    <row r="236" spans="1:14" x14ac:dyDescent="0.3">
      <c r="A236" t="s">
        <v>390</v>
      </c>
      <c r="B236" s="2">
        <v>45866</v>
      </c>
      <c r="C236" t="s">
        <v>15</v>
      </c>
      <c r="D236" t="s">
        <v>22</v>
      </c>
      <c r="E236" t="s">
        <v>28</v>
      </c>
      <c r="F236" t="s">
        <v>24</v>
      </c>
      <c r="G236" t="s">
        <v>63</v>
      </c>
      <c r="H236">
        <v>16</v>
      </c>
      <c r="I236" s="3">
        <v>42000</v>
      </c>
      <c r="J236" s="3">
        <v>55000</v>
      </c>
      <c r="K236" s="3">
        <v>880000</v>
      </c>
      <c r="L236" s="3">
        <v>672000</v>
      </c>
      <c r="M236" s="3">
        <v>208000</v>
      </c>
      <c r="N236" s="5">
        <v>0.23636363636363639</v>
      </c>
    </row>
    <row r="237" spans="1:14" x14ac:dyDescent="0.3">
      <c r="A237" t="s">
        <v>391</v>
      </c>
      <c r="B237" s="2">
        <v>45959</v>
      </c>
      <c r="C237" t="s">
        <v>272</v>
      </c>
      <c r="D237" t="s">
        <v>46</v>
      </c>
      <c r="E237" t="s">
        <v>23</v>
      </c>
      <c r="F237" t="s">
        <v>47</v>
      </c>
      <c r="G237" t="s">
        <v>48</v>
      </c>
      <c r="H237">
        <v>7</v>
      </c>
      <c r="I237" s="3">
        <v>2800</v>
      </c>
      <c r="J237" s="3">
        <v>4200</v>
      </c>
      <c r="K237" s="3">
        <v>29400</v>
      </c>
      <c r="L237" s="3">
        <v>19600</v>
      </c>
      <c r="M237" s="3">
        <v>9800</v>
      </c>
      <c r="N237" s="5">
        <v>0.33333333333333331</v>
      </c>
    </row>
    <row r="238" spans="1:14" x14ac:dyDescent="0.3">
      <c r="A238" t="s">
        <v>392</v>
      </c>
      <c r="B238" s="2">
        <v>46020</v>
      </c>
      <c r="C238" t="s">
        <v>97</v>
      </c>
      <c r="D238" t="s">
        <v>22</v>
      </c>
      <c r="E238" t="s">
        <v>36</v>
      </c>
      <c r="F238" t="s">
        <v>18</v>
      </c>
      <c r="G238" t="s">
        <v>76</v>
      </c>
      <c r="H238">
        <v>19</v>
      </c>
      <c r="I238" s="3">
        <v>2500</v>
      </c>
      <c r="J238" s="3">
        <v>3600</v>
      </c>
      <c r="K238" s="3">
        <v>68400</v>
      </c>
      <c r="L238" s="3">
        <v>47500</v>
      </c>
      <c r="M238" s="3">
        <v>20900</v>
      </c>
      <c r="N238" s="5">
        <v>0.30555555555555558</v>
      </c>
    </row>
    <row r="239" spans="1:14" x14ac:dyDescent="0.3">
      <c r="A239" t="s">
        <v>393</v>
      </c>
      <c r="B239" s="2">
        <v>45811</v>
      </c>
      <c r="C239" t="s">
        <v>195</v>
      </c>
      <c r="D239" t="s">
        <v>46</v>
      </c>
      <c r="E239" t="s">
        <v>55</v>
      </c>
      <c r="F239" t="s">
        <v>18</v>
      </c>
      <c r="G239" t="s">
        <v>76</v>
      </c>
      <c r="H239">
        <v>9</v>
      </c>
      <c r="I239" s="3">
        <v>2500</v>
      </c>
      <c r="J239" s="3">
        <v>3600</v>
      </c>
      <c r="K239" s="3">
        <v>32400</v>
      </c>
      <c r="L239" s="3">
        <v>22500</v>
      </c>
      <c r="M239" s="3">
        <v>9900</v>
      </c>
      <c r="N239" s="5">
        <v>0.30555555555555558</v>
      </c>
    </row>
    <row r="240" spans="1:14" x14ac:dyDescent="0.3">
      <c r="A240" t="s">
        <v>394</v>
      </c>
      <c r="B240" s="2">
        <v>45708</v>
      </c>
      <c r="C240" t="s">
        <v>270</v>
      </c>
      <c r="D240" t="s">
        <v>16</v>
      </c>
      <c r="E240" t="s">
        <v>55</v>
      </c>
      <c r="F240" t="s">
        <v>18</v>
      </c>
      <c r="G240" t="s">
        <v>72</v>
      </c>
      <c r="H240">
        <v>9</v>
      </c>
      <c r="I240" s="3">
        <v>900</v>
      </c>
      <c r="J240" s="3">
        <v>1500</v>
      </c>
      <c r="K240" s="3">
        <v>13500</v>
      </c>
      <c r="L240" s="3">
        <v>8100</v>
      </c>
      <c r="M240" s="3">
        <v>5400</v>
      </c>
      <c r="N240" s="5">
        <v>0.4</v>
      </c>
    </row>
    <row r="241" spans="1:14" x14ac:dyDescent="0.3">
      <c r="A241" t="s">
        <v>395</v>
      </c>
      <c r="B241" s="2">
        <v>45848</v>
      </c>
      <c r="C241" t="s">
        <v>396</v>
      </c>
      <c r="D241" t="s">
        <v>35</v>
      </c>
      <c r="E241" t="s">
        <v>55</v>
      </c>
      <c r="F241" t="s">
        <v>18</v>
      </c>
      <c r="G241" t="s">
        <v>60</v>
      </c>
      <c r="H241">
        <v>7</v>
      </c>
      <c r="I241" s="3">
        <v>1800</v>
      </c>
      <c r="J241" s="3">
        <v>2800</v>
      </c>
      <c r="K241" s="3">
        <v>19600</v>
      </c>
      <c r="L241" s="3">
        <v>12600</v>
      </c>
      <c r="M241" s="3">
        <v>7000</v>
      </c>
      <c r="N241" s="5">
        <v>0.35714285714285721</v>
      </c>
    </row>
    <row r="242" spans="1:14" x14ac:dyDescent="0.3">
      <c r="A242" t="s">
        <v>397</v>
      </c>
      <c r="B242" s="2">
        <v>45710</v>
      </c>
      <c r="C242" t="s">
        <v>108</v>
      </c>
      <c r="D242" t="s">
        <v>46</v>
      </c>
      <c r="E242" t="s">
        <v>28</v>
      </c>
      <c r="F242" t="s">
        <v>24</v>
      </c>
      <c r="G242" t="s">
        <v>29</v>
      </c>
      <c r="H242">
        <v>6</v>
      </c>
      <c r="I242" s="3">
        <v>12000</v>
      </c>
      <c r="J242" s="3">
        <v>16500</v>
      </c>
      <c r="K242" s="3">
        <v>99000</v>
      </c>
      <c r="L242" s="3">
        <v>72000</v>
      </c>
      <c r="M242" s="3">
        <v>27000</v>
      </c>
      <c r="N242" s="5">
        <v>0.27272727272727271</v>
      </c>
    </row>
    <row r="243" spans="1:14" x14ac:dyDescent="0.3">
      <c r="A243" t="s">
        <v>398</v>
      </c>
      <c r="B243" s="2">
        <v>45710</v>
      </c>
      <c r="C243" t="s">
        <v>399</v>
      </c>
      <c r="D243" t="s">
        <v>40</v>
      </c>
      <c r="E243" t="s">
        <v>17</v>
      </c>
      <c r="F243" t="s">
        <v>24</v>
      </c>
      <c r="G243" t="s">
        <v>29</v>
      </c>
      <c r="H243">
        <v>19</v>
      </c>
      <c r="I243" s="3">
        <v>12000</v>
      </c>
      <c r="J243" s="3">
        <v>16500</v>
      </c>
      <c r="K243" s="3">
        <v>313500</v>
      </c>
      <c r="L243" s="3">
        <v>228000</v>
      </c>
      <c r="M243" s="3">
        <v>85500</v>
      </c>
      <c r="N243" s="5">
        <v>0.27272727272727271</v>
      </c>
    </row>
    <row r="244" spans="1:14" x14ac:dyDescent="0.3">
      <c r="A244" t="s">
        <v>400</v>
      </c>
      <c r="B244" s="2">
        <v>45735</v>
      </c>
      <c r="C244" t="s">
        <v>142</v>
      </c>
      <c r="D244" t="s">
        <v>35</v>
      </c>
      <c r="E244" t="s">
        <v>28</v>
      </c>
      <c r="F244" t="s">
        <v>24</v>
      </c>
      <c r="G244" t="s">
        <v>29</v>
      </c>
      <c r="H244">
        <v>13</v>
      </c>
      <c r="I244" s="3">
        <v>12000</v>
      </c>
      <c r="J244" s="3">
        <v>16500</v>
      </c>
      <c r="K244" s="3">
        <v>214500</v>
      </c>
      <c r="L244" s="3">
        <v>156000</v>
      </c>
      <c r="M244" s="3">
        <v>58500</v>
      </c>
      <c r="N244" s="5">
        <v>0.27272727272727271</v>
      </c>
    </row>
    <row r="245" spans="1:14" x14ac:dyDescent="0.3">
      <c r="A245" t="s">
        <v>401</v>
      </c>
      <c r="B245" s="2">
        <v>45731</v>
      </c>
      <c r="C245" t="s">
        <v>186</v>
      </c>
      <c r="D245" t="s">
        <v>46</v>
      </c>
      <c r="E245" t="s">
        <v>23</v>
      </c>
      <c r="F245" t="s">
        <v>24</v>
      </c>
      <c r="G245" t="s">
        <v>63</v>
      </c>
      <c r="H245">
        <v>5</v>
      </c>
      <c r="I245" s="3">
        <v>42000</v>
      </c>
      <c r="J245" s="3">
        <v>55000</v>
      </c>
      <c r="K245" s="3">
        <v>275000</v>
      </c>
      <c r="L245" s="3">
        <v>210000</v>
      </c>
      <c r="M245" s="3">
        <v>65000</v>
      </c>
      <c r="N245" s="5">
        <v>0.23636363636363639</v>
      </c>
    </row>
    <row r="246" spans="1:14" x14ac:dyDescent="0.3">
      <c r="A246" t="s">
        <v>402</v>
      </c>
      <c r="B246" s="2">
        <v>45981</v>
      </c>
      <c r="C246" t="s">
        <v>159</v>
      </c>
      <c r="D246" t="s">
        <v>16</v>
      </c>
      <c r="E246" t="s">
        <v>23</v>
      </c>
      <c r="F246" t="s">
        <v>18</v>
      </c>
      <c r="G246" t="s">
        <v>76</v>
      </c>
      <c r="H246">
        <v>13</v>
      </c>
      <c r="I246" s="3">
        <v>2500</v>
      </c>
      <c r="J246" s="3">
        <v>3600</v>
      </c>
      <c r="K246" s="3">
        <v>46800</v>
      </c>
      <c r="L246" s="3">
        <v>32500</v>
      </c>
      <c r="M246" s="3">
        <v>14300</v>
      </c>
      <c r="N246" s="5">
        <v>0.30555555555555558</v>
      </c>
    </row>
    <row r="247" spans="1:14" x14ac:dyDescent="0.3">
      <c r="A247" t="s">
        <v>403</v>
      </c>
      <c r="B247" s="2">
        <v>45760</v>
      </c>
      <c r="C247" t="s">
        <v>39</v>
      </c>
      <c r="D247" t="s">
        <v>40</v>
      </c>
      <c r="E247" t="s">
        <v>23</v>
      </c>
      <c r="F247" t="s">
        <v>47</v>
      </c>
      <c r="G247" t="s">
        <v>48</v>
      </c>
      <c r="H247">
        <v>18</v>
      </c>
      <c r="I247" s="3">
        <v>2800</v>
      </c>
      <c r="J247" s="3">
        <v>4200</v>
      </c>
      <c r="K247" s="3">
        <v>75600</v>
      </c>
      <c r="L247" s="3">
        <v>50400</v>
      </c>
      <c r="M247" s="3">
        <v>25200</v>
      </c>
      <c r="N247" s="5">
        <v>0.33333333333333331</v>
      </c>
    </row>
    <row r="248" spans="1:14" x14ac:dyDescent="0.3">
      <c r="A248" t="s">
        <v>404</v>
      </c>
      <c r="B248" s="2">
        <v>45658</v>
      </c>
      <c r="C248" t="s">
        <v>104</v>
      </c>
      <c r="D248" t="s">
        <v>46</v>
      </c>
      <c r="E248" t="s">
        <v>32</v>
      </c>
      <c r="F248" t="s">
        <v>18</v>
      </c>
      <c r="G248" t="s">
        <v>19</v>
      </c>
      <c r="H248">
        <v>11</v>
      </c>
      <c r="I248" s="3">
        <v>1800</v>
      </c>
      <c r="J248" s="3">
        <v>2600</v>
      </c>
      <c r="K248" s="3">
        <v>28600</v>
      </c>
      <c r="L248" s="3">
        <v>19800</v>
      </c>
      <c r="M248" s="3">
        <v>8800</v>
      </c>
      <c r="N248" s="5">
        <v>0.30769230769230771</v>
      </c>
    </row>
    <row r="249" spans="1:14" x14ac:dyDescent="0.3">
      <c r="A249" t="s">
        <v>405</v>
      </c>
      <c r="B249" s="2">
        <v>45766</v>
      </c>
      <c r="C249" t="s">
        <v>235</v>
      </c>
      <c r="D249" t="s">
        <v>16</v>
      </c>
      <c r="E249" t="s">
        <v>55</v>
      </c>
      <c r="F249" t="s">
        <v>18</v>
      </c>
      <c r="G249" t="s">
        <v>76</v>
      </c>
      <c r="H249">
        <v>18</v>
      </c>
      <c r="I249" s="3">
        <v>2500</v>
      </c>
      <c r="J249" s="3">
        <v>3600</v>
      </c>
      <c r="K249" s="3">
        <v>64800</v>
      </c>
      <c r="L249" s="3">
        <v>45000</v>
      </c>
      <c r="M249" s="3">
        <v>19800</v>
      </c>
      <c r="N249" s="5">
        <v>0.30555555555555558</v>
      </c>
    </row>
    <row r="250" spans="1:14" x14ac:dyDescent="0.3">
      <c r="A250" t="s">
        <v>406</v>
      </c>
      <c r="B250" s="2">
        <v>45696</v>
      </c>
      <c r="C250" t="s">
        <v>407</v>
      </c>
      <c r="D250" t="s">
        <v>16</v>
      </c>
      <c r="E250" t="s">
        <v>23</v>
      </c>
      <c r="F250" t="s">
        <v>24</v>
      </c>
      <c r="G250" t="s">
        <v>63</v>
      </c>
      <c r="H250">
        <v>16</v>
      </c>
      <c r="I250" s="3">
        <v>42000</v>
      </c>
      <c r="J250" s="3">
        <v>55000</v>
      </c>
      <c r="K250" s="3">
        <v>880000</v>
      </c>
      <c r="L250" s="3">
        <v>672000</v>
      </c>
      <c r="M250" s="3">
        <v>208000</v>
      </c>
      <c r="N250" s="5">
        <v>0.23636363636363639</v>
      </c>
    </row>
    <row r="251" spans="1:14" x14ac:dyDescent="0.3">
      <c r="A251" t="s">
        <v>408</v>
      </c>
      <c r="B251" s="2">
        <v>45951</v>
      </c>
      <c r="C251" t="s">
        <v>156</v>
      </c>
      <c r="D251" t="s">
        <v>22</v>
      </c>
      <c r="E251" t="s">
        <v>28</v>
      </c>
      <c r="F251" t="s">
        <v>18</v>
      </c>
      <c r="G251" t="s">
        <v>60</v>
      </c>
      <c r="H251">
        <v>9</v>
      </c>
      <c r="I251" s="3">
        <v>1800</v>
      </c>
      <c r="J251" s="3">
        <v>2800</v>
      </c>
      <c r="K251" s="3">
        <v>25200</v>
      </c>
      <c r="L251" s="3">
        <v>16200</v>
      </c>
      <c r="M251" s="3">
        <v>9000</v>
      </c>
      <c r="N251" s="5">
        <v>0.35714285714285721</v>
      </c>
    </row>
    <row r="252" spans="1:14" x14ac:dyDescent="0.3">
      <c r="A252" t="s">
        <v>409</v>
      </c>
      <c r="B252" s="2">
        <v>45762</v>
      </c>
      <c r="C252" t="s">
        <v>410</v>
      </c>
      <c r="D252" t="s">
        <v>46</v>
      </c>
      <c r="E252" t="s">
        <v>23</v>
      </c>
      <c r="F252" t="s">
        <v>18</v>
      </c>
      <c r="G252" t="s">
        <v>72</v>
      </c>
      <c r="H252">
        <v>6</v>
      </c>
      <c r="I252" s="3">
        <v>900</v>
      </c>
      <c r="J252" s="3">
        <v>1500</v>
      </c>
      <c r="K252" s="3">
        <v>9000</v>
      </c>
      <c r="L252" s="3">
        <v>5400</v>
      </c>
      <c r="M252" s="3">
        <v>3600</v>
      </c>
      <c r="N252" s="5">
        <v>0.4</v>
      </c>
    </row>
    <row r="253" spans="1:14" x14ac:dyDescent="0.3">
      <c r="A253" t="s">
        <v>411</v>
      </c>
      <c r="B253" s="2">
        <v>45861</v>
      </c>
      <c r="C253" t="s">
        <v>412</v>
      </c>
      <c r="D253" t="s">
        <v>46</v>
      </c>
      <c r="E253" t="s">
        <v>23</v>
      </c>
      <c r="F253" t="s">
        <v>24</v>
      </c>
      <c r="G253" t="s">
        <v>63</v>
      </c>
      <c r="H253">
        <v>9</v>
      </c>
      <c r="I253" s="3">
        <v>42000</v>
      </c>
      <c r="J253" s="3">
        <v>55000</v>
      </c>
      <c r="K253" s="3">
        <v>495000</v>
      </c>
      <c r="L253" s="3">
        <v>378000</v>
      </c>
      <c r="M253" s="3">
        <v>117000</v>
      </c>
      <c r="N253" s="5">
        <v>0.23636363636363639</v>
      </c>
    </row>
    <row r="254" spans="1:14" x14ac:dyDescent="0.3">
      <c r="A254" t="s">
        <v>413</v>
      </c>
      <c r="B254" s="2">
        <v>45762</v>
      </c>
      <c r="C254" t="s">
        <v>303</v>
      </c>
      <c r="D254" t="s">
        <v>46</v>
      </c>
      <c r="E254" t="s">
        <v>28</v>
      </c>
      <c r="F254" t="s">
        <v>18</v>
      </c>
      <c r="G254" t="s">
        <v>60</v>
      </c>
      <c r="H254">
        <v>17</v>
      </c>
      <c r="I254" s="3">
        <v>1800</v>
      </c>
      <c r="J254" s="3">
        <v>2800</v>
      </c>
      <c r="K254" s="3">
        <v>47600</v>
      </c>
      <c r="L254" s="3">
        <v>30600</v>
      </c>
      <c r="M254" s="3">
        <v>17000</v>
      </c>
      <c r="N254" s="5">
        <v>0.35714285714285721</v>
      </c>
    </row>
    <row r="255" spans="1:14" x14ac:dyDescent="0.3">
      <c r="A255" t="s">
        <v>414</v>
      </c>
      <c r="B255" s="2">
        <v>45810</v>
      </c>
      <c r="C255" t="s">
        <v>146</v>
      </c>
      <c r="D255" t="s">
        <v>35</v>
      </c>
      <c r="E255" t="s">
        <v>32</v>
      </c>
      <c r="F255" t="s">
        <v>18</v>
      </c>
      <c r="G255" t="s">
        <v>19</v>
      </c>
      <c r="H255">
        <v>15</v>
      </c>
      <c r="I255" s="3">
        <v>1800</v>
      </c>
      <c r="J255" s="3">
        <v>2600</v>
      </c>
      <c r="K255" s="3">
        <v>39000</v>
      </c>
      <c r="L255" s="3">
        <v>27000</v>
      </c>
      <c r="M255" s="3">
        <v>12000</v>
      </c>
      <c r="N255" s="5">
        <v>0.30769230769230771</v>
      </c>
    </row>
    <row r="256" spans="1:14" x14ac:dyDescent="0.3">
      <c r="A256" t="s">
        <v>415</v>
      </c>
      <c r="B256" s="2">
        <v>46004</v>
      </c>
      <c r="C256" t="s">
        <v>65</v>
      </c>
      <c r="D256" t="s">
        <v>40</v>
      </c>
      <c r="E256" t="s">
        <v>23</v>
      </c>
      <c r="F256" t="s">
        <v>18</v>
      </c>
      <c r="G256" t="s">
        <v>60</v>
      </c>
      <c r="H256">
        <v>17</v>
      </c>
      <c r="I256" s="3">
        <v>1800</v>
      </c>
      <c r="J256" s="3">
        <v>2800</v>
      </c>
      <c r="K256" s="3">
        <v>47600</v>
      </c>
      <c r="L256" s="3">
        <v>30600</v>
      </c>
      <c r="M256" s="3">
        <v>17000</v>
      </c>
      <c r="N256" s="5">
        <v>0.35714285714285721</v>
      </c>
    </row>
    <row r="257" spans="1:14" x14ac:dyDescent="0.3">
      <c r="A257" t="s">
        <v>416</v>
      </c>
      <c r="B257" s="2">
        <v>45895</v>
      </c>
      <c r="C257" t="s">
        <v>138</v>
      </c>
      <c r="D257" t="s">
        <v>40</v>
      </c>
      <c r="E257" t="s">
        <v>55</v>
      </c>
      <c r="F257" t="s">
        <v>24</v>
      </c>
      <c r="G257" t="s">
        <v>29</v>
      </c>
      <c r="H257">
        <v>10</v>
      </c>
      <c r="I257" s="3">
        <v>12000</v>
      </c>
      <c r="J257" s="3">
        <v>16500</v>
      </c>
      <c r="K257" s="3">
        <v>165000</v>
      </c>
      <c r="L257" s="3">
        <v>120000</v>
      </c>
      <c r="M257" s="3">
        <v>45000</v>
      </c>
      <c r="N257" s="5">
        <v>0.27272727272727271</v>
      </c>
    </row>
    <row r="258" spans="1:14" x14ac:dyDescent="0.3">
      <c r="A258" t="s">
        <v>417</v>
      </c>
      <c r="B258" s="2">
        <v>45998</v>
      </c>
      <c r="C258" t="s">
        <v>418</v>
      </c>
      <c r="D258" t="s">
        <v>16</v>
      </c>
      <c r="E258" t="s">
        <v>32</v>
      </c>
      <c r="F258" t="s">
        <v>18</v>
      </c>
      <c r="G258" t="s">
        <v>19</v>
      </c>
      <c r="H258">
        <v>2</v>
      </c>
      <c r="I258" s="3">
        <v>1800</v>
      </c>
      <c r="J258" s="3">
        <v>2600</v>
      </c>
      <c r="K258" s="3">
        <v>5200</v>
      </c>
      <c r="L258" s="3">
        <v>3600</v>
      </c>
      <c r="M258" s="3">
        <v>1600</v>
      </c>
      <c r="N258" s="5">
        <v>0.30769230769230771</v>
      </c>
    </row>
    <row r="259" spans="1:14" x14ac:dyDescent="0.3">
      <c r="A259" t="s">
        <v>419</v>
      </c>
      <c r="B259" s="2">
        <v>45919</v>
      </c>
      <c r="C259" t="s">
        <v>116</v>
      </c>
      <c r="D259" t="s">
        <v>46</v>
      </c>
      <c r="E259" t="s">
        <v>32</v>
      </c>
      <c r="F259" t="s">
        <v>18</v>
      </c>
      <c r="G259" t="s">
        <v>76</v>
      </c>
      <c r="H259">
        <v>1</v>
      </c>
      <c r="I259" s="3">
        <v>2500</v>
      </c>
      <c r="J259" s="3">
        <v>3600</v>
      </c>
      <c r="K259" s="3">
        <v>3600</v>
      </c>
      <c r="L259" s="3">
        <v>2500</v>
      </c>
      <c r="M259" s="3">
        <v>1100</v>
      </c>
      <c r="N259" s="5">
        <v>0.30555555555555558</v>
      </c>
    </row>
    <row r="260" spans="1:14" x14ac:dyDescent="0.3">
      <c r="A260" t="s">
        <v>420</v>
      </c>
      <c r="B260" s="2">
        <v>45789</v>
      </c>
      <c r="C260" t="s">
        <v>21</v>
      </c>
      <c r="D260" t="s">
        <v>40</v>
      </c>
      <c r="E260" t="s">
        <v>36</v>
      </c>
      <c r="F260" t="s">
        <v>18</v>
      </c>
      <c r="G260" t="s">
        <v>19</v>
      </c>
      <c r="H260">
        <v>17</v>
      </c>
      <c r="I260" s="3">
        <v>1800</v>
      </c>
      <c r="J260" s="3">
        <v>2600</v>
      </c>
      <c r="K260" s="3">
        <v>44200</v>
      </c>
      <c r="L260" s="3">
        <v>30600</v>
      </c>
      <c r="M260" s="3">
        <v>13600</v>
      </c>
      <c r="N260" s="5">
        <v>0.30769230769230771</v>
      </c>
    </row>
    <row r="261" spans="1:14" x14ac:dyDescent="0.3">
      <c r="A261" t="s">
        <v>421</v>
      </c>
      <c r="B261" s="2">
        <v>45965</v>
      </c>
      <c r="C261" t="s">
        <v>78</v>
      </c>
      <c r="D261" t="s">
        <v>16</v>
      </c>
      <c r="E261" t="s">
        <v>23</v>
      </c>
      <c r="F261" t="s">
        <v>18</v>
      </c>
      <c r="G261" t="s">
        <v>37</v>
      </c>
      <c r="H261">
        <v>4</v>
      </c>
      <c r="I261" s="3">
        <v>400</v>
      </c>
      <c r="J261" s="3">
        <v>650</v>
      </c>
      <c r="K261" s="3">
        <v>2600</v>
      </c>
      <c r="L261" s="3">
        <v>1600</v>
      </c>
      <c r="M261" s="3">
        <v>1000</v>
      </c>
      <c r="N261" s="5">
        <v>0.38461538461538458</v>
      </c>
    </row>
    <row r="262" spans="1:14" x14ac:dyDescent="0.3">
      <c r="A262" t="s">
        <v>422</v>
      </c>
      <c r="B262" s="2">
        <v>45990</v>
      </c>
      <c r="C262" t="s">
        <v>106</v>
      </c>
      <c r="D262" t="s">
        <v>16</v>
      </c>
      <c r="E262" t="s">
        <v>36</v>
      </c>
      <c r="F262" t="s">
        <v>47</v>
      </c>
      <c r="G262" t="s">
        <v>48</v>
      </c>
      <c r="H262">
        <v>14</v>
      </c>
      <c r="I262" s="3">
        <v>2800</v>
      </c>
      <c r="J262" s="3">
        <v>4200</v>
      </c>
      <c r="K262" s="3">
        <v>58800</v>
      </c>
      <c r="L262" s="3">
        <v>39200</v>
      </c>
      <c r="M262" s="3">
        <v>19600</v>
      </c>
      <c r="N262" s="5">
        <v>0.33333333333333331</v>
      </c>
    </row>
    <row r="263" spans="1:14" x14ac:dyDescent="0.3">
      <c r="A263" t="s">
        <v>423</v>
      </c>
      <c r="B263" s="2">
        <v>45757</v>
      </c>
      <c r="C263" t="s">
        <v>424</v>
      </c>
      <c r="D263" t="s">
        <v>22</v>
      </c>
      <c r="E263" t="s">
        <v>55</v>
      </c>
      <c r="F263" t="s">
        <v>41</v>
      </c>
      <c r="G263" t="s">
        <v>42</v>
      </c>
      <c r="H263">
        <v>3</v>
      </c>
      <c r="I263" s="3">
        <v>8500</v>
      </c>
      <c r="J263" s="3">
        <v>12000</v>
      </c>
      <c r="K263" s="3">
        <v>36000</v>
      </c>
      <c r="L263" s="3">
        <v>25500</v>
      </c>
      <c r="M263" s="3">
        <v>10500</v>
      </c>
      <c r="N263" s="5">
        <v>0.29166666666666669</v>
      </c>
    </row>
    <row r="264" spans="1:14" x14ac:dyDescent="0.3">
      <c r="A264" t="s">
        <v>425</v>
      </c>
      <c r="B264" s="2">
        <v>45890</v>
      </c>
      <c r="C264" t="s">
        <v>218</v>
      </c>
      <c r="D264" t="s">
        <v>46</v>
      </c>
      <c r="E264" t="s">
        <v>28</v>
      </c>
      <c r="F264" t="s">
        <v>24</v>
      </c>
      <c r="G264" t="s">
        <v>63</v>
      </c>
      <c r="H264">
        <v>9</v>
      </c>
      <c r="I264" s="3">
        <v>42000</v>
      </c>
      <c r="J264" s="3">
        <v>55000</v>
      </c>
      <c r="K264" s="3">
        <v>495000</v>
      </c>
      <c r="L264" s="3">
        <v>378000</v>
      </c>
      <c r="M264" s="3">
        <v>117000</v>
      </c>
      <c r="N264" s="5">
        <v>0.23636363636363639</v>
      </c>
    </row>
    <row r="265" spans="1:14" x14ac:dyDescent="0.3">
      <c r="A265" t="s">
        <v>426</v>
      </c>
      <c r="B265" s="2">
        <v>45903</v>
      </c>
      <c r="C265" t="s">
        <v>52</v>
      </c>
      <c r="D265" t="s">
        <v>16</v>
      </c>
      <c r="E265" t="s">
        <v>28</v>
      </c>
      <c r="F265" t="s">
        <v>24</v>
      </c>
      <c r="G265" t="s">
        <v>25</v>
      </c>
      <c r="H265">
        <v>16</v>
      </c>
      <c r="I265" s="3">
        <v>15000</v>
      </c>
      <c r="J265" s="3">
        <v>19500</v>
      </c>
      <c r="K265" s="3">
        <v>312000</v>
      </c>
      <c r="L265" s="3">
        <v>240000</v>
      </c>
      <c r="M265" s="3">
        <v>72000</v>
      </c>
      <c r="N265" s="5">
        <v>0.23076923076923081</v>
      </c>
    </row>
    <row r="266" spans="1:14" x14ac:dyDescent="0.3">
      <c r="A266" t="s">
        <v>427</v>
      </c>
      <c r="B266" s="2">
        <v>45908</v>
      </c>
      <c r="C266" t="s">
        <v>259</v>
      </c>
      <c r="D266" t="s">
        <v>22</v>
      </c>
      <c r="E266" t="s">
        <v>23</v>
      </c>
      <c r="F266" t="s">
        <v>18</v>
      </c>
      <c r="G266" t="s">
        <v>19</v>
      </c>
      <c r="H266">
        <v>3</v>
      </c>
      <c r="I266" s="3">
        <v>1800</v>
      </c>
      <c r="J266" s="3">
        <v>2600</v>
      </c>
      <c r="K266" s="3">
        <v>7800</v>
      </c>
      <c r="L266" s="3">
        <v>5400</v>
      </c>
      <c r="M266" s="3">
        <v>2400</v>
      </c>
      <c r="N266" s="5">
        <v>0.30769230769230771</v>
      </c>
    </row>
    <row r="267" spans="1:14" x14ac:dyDescent="0.3">
      <c r="A267" t="s">
        <v>428</v>
      </c>
      <c r="B267" s="2">
        <v>45708</v>
      </c>
      <c r="C267" t="s">
        <v>319</v>
      </c>
      <c r="D267" t="s">
        <v>35</v>
      </c>
      <c r="E267" t="s">
        <v>55</v>
      </c>
      <c r="F267" t="s">
        <v>24</v>
      </c>
      <c r="G267" t="s">
        <v>25</v>
      </c>
      <c r="H267">
        <v>11</v>
      </c>
      <c r="I267" s="3">
        <v>15000</v>
      </c>
      <c r="J267" s="3">
        <v>19500</v>
      </c>
      <c r="K267" s="3">
        <v>214500</v>
      </c>
      <c r="L267" s="3">
        <v>165000</v>
      </c>
      <c r="M267" s="3">
        <v>49500</v>
      </c>
      <c r="N267" s="5">
        <v>0.23076923076923081</v>
      </c>
    </row>
    <row r="268" spans="1:14" x14ac:dyDescent="0.3">
      <c r="A268" t="s">
        <v>429</v>
      </c>
      <c r="B268" s="2">
        <v>45702</v>
      </c>
      <c r="C268" t="s">
        <v>369</v>
      </c>
      <c r="D268" t="s">
        <v>35</v>
      </c>
      <c r="E268" t="s">
        <v>28</v>
      </c>
      <c r="F268" t="s">
        <v>47</v>
      </c>
      <c r="G268" t="s">
        <v>48</v>
      </c>
      <c r="H268">
        <v>14</v>
      </c>
      <c r="I268" s="3">
        <v>2800</v>
      </c>
      <c r="J268" s="3">
        <v>4200</v>
      </c>
      <c r="K268" s="3">
        <v>58800</v>
      </c>
      <c r="L268" s="3">
        <v>39200</v>
      </c>
      <c r="M268" s="3">
        <v>19600</v>
      </c>
      <c r="N268" s="5">
        <v>0.33333333333333331</v>
      </c>
    </row>
    <row r="269" spans="1:14" x14ac:dyDescent="0.3">
      <c r="A269" t="s">
        <v>430</v>
      </c>
      <c r="B269" s="2">
        <v>45773</v>
      </c>
      <c r="C269" t="s">
        <v>287</v>
      </c>
      <c r="D269" t="s">
        <v>40</v>
      </c>
      <c r="E269" t="s">
        <v>36</v>
      </c>
      <c r="F269" t="s">
        <v>24</v>
      </c>
      <c r="G269" t="s">
        <v>63</v>
      </c>
      <c r="H269">
        <v>13</v>
      </c>
      <c r="I269" s="3">
        <v>42000</v>
      </c>
      <c r="J269" s="3">
        <v>55000</v>
      </c>
      <c r="K269" s="3">
        <v>715000</v>
      </c>
      <c r="L269" s="3">
        <v>546000</v>
      </c>
      <c r="M269" s="3">
        <v>169000</v>
      </c>
      <c r="N269" s="5">
        <v>0.23636363636363639</v>
      </c>
    </row>
    <row r="270" spans="1:14" x14ac:dyDescent="0.3">
      <c r="A270" t="s">
        <v>431</v>
      </c>
      <c r="B270" s="2">
        <v>45683</v>
      </c>
      <c r="C270" t="s">
        <v>175</v>
      </c>
      <c r="D270" t="s">
        <v>40</v>
      </c>
      <c r="E270" t="s">
        <v>55</v>
      </c>
      <c r="F270" t="s">
        <v>18</v>
      </c>
      <c r="G270" t="s">
        <v>37</v>
      </c>
      <c r="H270">
        <v>18</v>
      </c>
      <c r="I270" s="3">
        <v>400</v>
      </c>
      <c r="J270" s="3">
        <v>650</v>
      </c>
      <c r="K270" s="3">
        <v>11700</v>
      </c>
      <c r="L270" s="3">
        <v>7200</v>
      </c>
      <c r="M270" s="3">
        <v>4500</v>
      </c>
      <c r="N270" s="5">
        <v>0.38461538461538458</v>
      </c>
    </row>
    <row r="271" spans="1:14" x14ac:dyDescent="0.3">
      <c r="A271" t="s">
        <v>432</v>
      </c>
      <c r="B271" s="2">
        <v>45839</v>
      </c>
      <c r="C271" t="s">
        <v>433</v>
      </c>
      <c r="D271" t="s">
        <v>40</v>
      </c>
      <c r="E271" t="s">
        <v>55</v>
      </c>
      <c r="F271" t="s">
        <v>18</v>
      </c>
      <c r="G271" t="s">
        <v>72</v>
      </c>
      <c r="H271">
        <v>15</v>
      </c>
      <c r="I271" s="3">
        <v>900</v>
      </c>
      <c r="J271" s="3">
        <v>1500</v>
      </c>
      <c r="K271" s="3">
        <v>22500</v>
      </c>
      <c r="L271" s="3">
        <v>13500</v>
      </c>
      <c r="M271" s="3">
        <v>9000</v>
      </c>
      <c r="N271" s="5">
        <v>0.4</v>
      </c>
    </row>
    <row r="272" spans="1:14" x14ac:dyDescent="0.3">
      <c r="A272" t="s">
        <v>434</v>
      </c>
      <c r="B272" s="2">
        <v>45983</v>
      </c>
      <c r="C272" t="s">
        <v>435</v>
      </c>
      <c r="D272" t="s">
        <v>16</v>
      </c>
      <c r="E272" t="s">
        <v>36</v>
      </c>
      <c r="F272" t="s">
        <v>18</v>
      </c>
      <c r="G272" t="s">
        <v>76</v>
      </c>
      <c r="H272">
        <v>3</v>
      </c>
      <c r="I272" s="3">
        <v>2500</v>
      </c>
      <c r="J272" s="3">
        <v>3600</v>
      </c>
      <c r="K272" s="3">
        <v>10800</v>
      </c>
      <c r="L272" s="3">
        <v>7500</v>
      </c>
      <c r="M272" s="3">
        <v>3300</v>
      </c>
      <c r="N272" s="5">
        <v>0.30555555555555558</v>
      </c>
    </row>
    <row r="273" spans="1:14" x14ac:dyDescent="0.3">
      <c r="A273" t="s">
        <v>436</v>
      </c>
      <c r="B273" s="2">
        <v>45811</v>
      </c>
      <c r="C273" t="s">
        <v>59</v>
      </c>
      <c r="D273" t="s">
        <v>22</v>
      </c>
      <c r="E273" t="s">
        <v>17</v>
      </c>
      <c r="F273" t="s">
        <v>18</v>
      </c>
      <c r="G273" t="s">
        <v>19</v>
      </c>
      <c r="H273">
        <v>2</v>
      </c>
      <c r="I273" s="3">
        <v>1800</v>
      </c>
      <c r="J273" s="3">
        <v>2600</v>
      </c>
      <c r="K273" s="3">
        <v>5200</v>
      </c>
      <c r="L273" s="3">
        <v>3600</v>
      </c>
      <c r="M273" s="3">
        <v>1600</v>
      </c>
      <c r="N273" s="5">
        <v>0.30769230769230771</v>
      </c>
    </row>
    <row r="274" spans="1:14" x14ac:dyDescent="0.3">
      <c r="A274" t="s">
        <v>437</v>
      </c>
      <c r="B274" s="2">
        <v>46006</v>
      </c>
      <c r="C274" t="s">
        <v>305</v>
      </c>
      <c r="D274" t="s">
        <v>46</v>
      </c>
      <c r="E274" t="s">
        <v>55</v>
      </c>
      <c r="F274" t="s">
        <v>24</v>
      </c>
      <c r="G274" t="s">
        <v>63</v>
      </c>
      <c r="H274">
        <v>1</v>
      </c>
      <c r="I274" s="3">
        <v>42000</v>
      </c>
      <c r="J274" s="3">
        <v>55000</v>
      </c>
      <c r="K274" s="3">
        <v>55000</v>
      </c>
      <c r="L274" s="3">
        <v>42000</v>
      </c>
      <c r="M274" s="3">
        <v>13000</v>
      </c>
      <c r="N274" s="5">
        <v>0.23636363636363639</v>
      </c>
    </row>
    <row r="275" spans="1:14" x14ac:dyDescent="0.3">
      <c r="A275" t="s">
        <v>438</v>
      </c>
      <c r="B275" s="2">
        <v>45812</v>
      </c>
      <c r="C275" t="s">
        <v>159</v>
      </c>
      <c r="D275" t="s">
        <v>35</v>
      </c>
      <c r="E275" t="s">
        <v>23</v>
      </c>
      <c r="F275" t="s">
        <v>18</v>
      </c>
      <c r="G275" t="s">
        <v>72</v>
      </c>
      <c r="H275">
        <v>9</v>
      </c>
      <c r="I275" s="3">
        <v>900</v>
      </c>
      <c r="J275" s="3">
        <v>1500</v>
      </c>
      <c r="K275" s="3">
        <v>13500</v>
      </c>
      <c r="L275" s="3">
        <v>8100</v>
      </c>
      <c r="M275" s="3">
        <v>5400</v>
      </c>
      <c r="N275" s="5">
        <v>0.4</v>
      </c>
    </row>
    <row r="276" spans="1:14" x14ac:dyDescent="0.3">
      <c r="A276" t="s">
        <v>439</v>
      </c>
      <c r="B276" s="2">
        <v>45729</v>
      </c>
      <c r="C276" t="s">
        <v>440</v>
      </c>
      <c r="D276" t="s">
        <v>46</v>
      </c>
      <c r="E276" t="s">
        <v>32</v>
      </c>
      <c r="F276" t="s">
        <v>18</v>
      </c>
      <c r="G276" t="s">
        <v>72</v>
      </c>
      <c r="H276">
        <v>14</v>
      </c>
      <c r="I276" s="3">
        <v>900</v>
      </c>
      <c r="J276" s="3">
        <v>1500</v>
      </c>
      <c r="K276" s="3">
        <v>21000</v>
      </c>
      <c r="L276" s="3">
        <v>12600</v>
      </c>
      <c r="M276" s="3">
        <v>8400</v>
      </c>
      <c r="N276" s="5">
        <v>0.4</v>
      </c>
    </row>
    <row r="277" spans="1:14" x14ac:dyDescent="0.3">
      <c r="A277" t="s">
        <v>441</v>
      </c>
      <c r="B277" s="2">
        <v>45825</v>
      </c>
      <c r="C277" t="s">
        <v>213</v>
      </c>
      <c r="D277" t="s">
        <v>22</v>
      </c>
      <c r="E277" t="s">
        <v>32</v>
      </c>
      <c r="F277" t="s">
        <v>18</v>
      </c>
      <c r="G277" t="s">
        <v>37</v>
      </c>
      <c r="H277">
        <v>3</v>
      </c>
      <c r="I277" s="3">
        <v>400</v>
      </c>
      <c r="J277" s="3">
        <v>650</v>
      </c>
      <c r="K277" s="3">
        <v>1950</v>
      </c>
      <c r="L277" s="3">
        <v>1200</v>
      </c>
      <c r="M277" s="3">
        <v>750</v>
      </c>
      <c r="N277" s="5">
        <v>0.38461538461538458</v>
      </c>
    </row>
    <row r="278" spans="1:14" x14ac:dyDescent="0.3">
      <c r="A278" t="s">
        <v>442</v>
      </c>
      <c r="B278" s="2">
        <v>45819</v>
      </c>
      <c r="C278" t="s">
        <v>136</v>
      </c>
      <c r="D278" t="s">
        <v>40</v>
      </c>
      <c r="E278" t="s">
        <v>28</v>
      </c>
      <c r="F278" t="s">
        <v>18</v>
      </c>
      <c r="G278" t="s">
        <v>60</v>
      </c>
      <c r="H278">
        <v>12</v>
      </c>
      <c r="I278" s="3">
        <v>1800</v>
      </c>
      <c r="J278" s="3">
        <v>2800</v>
      </c>
      <c r="K278" s="3">
        <v>33600</v>
      </c>
      <c r="L278" s="3">
        <v>21600</v>
      </c>
      <c r="M278" s="3">
        <v>12000</v>
      </c>
      <c r="N278" s="5">
        <v>0.35714285714285721</v>
      </c>
    </row>
    <row r="279" spans="1:14" x14ac:dyDescent="0.3">
      <c r="A279" t="s">
        <v>443</v>
      </c>
      <c r="B279" s="2">
        <v>45774</v>
      </c>
      <c r="C279" t="s">
        <v>34</v>
      </c>
      <c r="D279" t="s">
        <v>46</v>
      </c>
      <c r="E279" t="s">
        <v>32</v>
      </c>
      <c r="F279" t="s">
        <v>24</v>
      </c>
      <c r="G279" t="s">
        <v>63</v>
      </c>
      <c r="H279">
        <v>2</v>
      </c>
      <c r="I279" s="3">
        <v>42000</v>
      </c>
      <c r="J279" s="3">
        <v>55000</v>
      </c>
      <c r="K279" s="3">
        <v>110000</v>
      </c>
      <c r="L279" s="3">
        <v>84000</v>
      </c>
      <c r="M279" s="3">
        <v>26000</v>
      </c>
      <c r="N279" s="5">
        <v>0.23636363636363639</v>
      </c>
    </row>
    <row r="280" spans="1:14" x14ac:dyDescent="0.3">
      <c r="A280" t="s">
        <v>444</v>
      </c>
      <c r="B280" s="2">
        <v>45718</v>
      </c>
      <c r="C280" t="s">
        <v>87</v>
      </c>
      <c r="D280" t="s">
        <v>40</v>
      </c>
      <c r="E280" t="s">
        <v>36</v>
      </c>
      <c r="F280" t="s">
        <v>47</v>
      </c>
      <c r="G280" t="s">
        <v>48</v>
      </c>
      <c r="H280">
        <v>17</v>
      </c>
      <c r="I280" s="3">
        <v>2800</v>
      </c>
      <c r="J280" s="3">
        <v>4200</v>
      </c>
      <c r="K280" s="3">
        <v>71400</v>
      </c>
      <c r="L280" s="3">
        <v>47600</v>
      </c>
      <c r="M280" s="3">
        <v>23800</v>
      </c>
      <c r="N280" s="5">
        <v>0.33333333333333331</v>
      </c>
    </row>
    <row r="281" spans="1:14" x14ac:dyDescent="0.3">
      <c r="A281" t="s">
        <v>445</v>
      </c>
      <c r="B281" s="2">
        <v>45695</v>
      </c>
      <c r="C281" t="s">
        <v>396</v>
      </c>
      <c r="D281" t="s">
        <v>35</v>
      </c>
      <c r="E281" t="s">
        <v>32</v>
      </c>
      <c r="F281" t="s">
        <v>18</v>
      </c>
      <c r="G281" t="s">
        <v>19</v>
      </c>
      <c r="H281">
        <v>19</v>
      </c>
      <c r="I281" s="3">
        <v>1800</v>
      </c>
      <c r="J281" s="3">
        <v>2600</v>
      </c>
      <c r="K281" s="3">
        <v>49400</v>
      </c>
      <c r="L281" s="3">
        <v>34200</v>
      </c>
      <c r="M281" s="3">
        <v>15200</v>
      </c>
      <c r="N281" s="5">
        <v>0.30769230769230771</v>
      </c>
    </row>
    <row r="282" spans="1:14" x14ac:dyDescent="0.3">
      <c r="A282" t="s">
        <v>446</v>
      </c>
      <c r="B282" s="2">
        <v>45834</v>
      </c>
      <c r="C282" t="s">
        <v>255</v>
      </c>
      <c r="D282" t="s">
        <v>16</v>
      </c>
      <c r="E282" t="s">
        <v>17</v>
      </c>
      <c r="F282" t="s">
        <v>18</v>
      </c>
      <c r="G282" t="s">
        <v>72</v>
      </c>
      <c r="H282">
        <v>12</v>
      </c>
      <c r="I282" s="3">
        <v>900</v>
      </c>
      <c r="J282" s="3">
        <v>1500</v>
      </c>
      <c r="K282" s="3">
        <v>18000</v>
      </c>
      <c r="L282" s="3">
        <v>10800</v>
      </c>
      <c r="M282" s="3">
        <v>7200</v>
      </c>
      <c r="N282" s="5">
        <v>0.4</v>
      </c>
    </row>
    <row r="283" spans="1:14" x14ac:dyDescent="0.3">
      <c r="A283" t="s">
        <v>447</v>
      </c>
      <c r="B283" s="2">
        <v>45840</v>
      </c>
      <c r="C283" t="s">
        <v>272</v>
      </c>
      <c r="D283" t="s">
        <v>46</v>
      </c>
      <c r="E283" t="s">
        <v>36</v>
      </c>
      <c r="F283" t="s">
        <v>41</v>
      </c>
      <c r="G283" t="s">
        <v>42</v>
      </c>
      <c r="H283">
        <v>19</v>
      </c>
      <c r="I283" s="3">
        <v>8500</v>
      </c>
      <c r="J283" s="3">
        <v>12000</v>
      </c>
      <c r="K283" s="3">
        <v>228000</v>
      </c>
      <c r="L283" s="3">
        <v>161500</v>
      </c>
      <c r="M283" s="3">
        <v>66500</v>
      </c>
      <c r="N283" s="5">
        <v>0.29166666666666669</v>
      </c>
    </row>
    <row r="284" spans="1:14" x14ac:dyDescent="0.3">
      <c r="A284" t="s">
        <v>448</v>
      </c>
      <c r="B284" s="2">
        <v>45995</v>
      </c>
      <c r="C284" t="s">
        <v>435</v>
      </c>
      <c r="D284" t="s">
        <v>35</v>
      </c>
      <c r="E284" t="s">
        <v>55</v>
      </c>
      <c r="F284" t="s">
        <v>47</v>
      </c>
      <c r="G284" t="s">
        <v>48</v>
      </c>
      <c r="H284">
        <v>3</v>
      </c>
      <c r="I284" s="3">
        <v>2800</v>
      </c>
      <c r="J284" s="3">
        <v>4200</v>
      </c>
      <c r="K284" s="3">
        <v>12600</v>
      </c>
      <c r="L284" s="3">
        <v>8400</v>
      </c>
      <c r="M284" s="3">
        <v>4200</v>
      </c>
      <c r="N284" s="5">
        <v>0.33333333333333331</v>
      </c>
    </row>
    <row r="285" spans="1:14" x14ac:dyDescent="0.3">
      <c r="A285" t="s">
        <v>449</v>
      </c>
      <c r="B285" s="2">
        <v>45945</v>
      </c>
      <c r="C285" t="s">
        <v>424</v>
      </c>
      <c r="D285" t="s">
        <v>22</v>
      </c>
      <c r="E285" t="s">
        <v>28</v>
      </c>
      <c r="F285" t="s">
        <v>41</v>
      </c>
      <c r="G285" t="s">
        <v>42</v>
      </c>
      <c r="H285">
        <v>15</v>
      </c>
      <c r="I285" s="3">
        <v>8500</v>
      </c>
      <c r="J285" s="3">
        <v>12000</v>
      </c>
      <c r="K285" s="3">
        <v>180000</v>
      </c>
      <c r="L285" s="3">
        <v>127500</v>
      </c>
      <c r="M285" s="3">
        <v>52500</v>
      </c>
      <c r="N285" s="5">
        <v>0.29166666666666669</v>
      </c>
    </row>
    <row r="286" spans="1:14" x14ac:dyDescent="0.3">
      <c r="A286" t="s">
        <v>450</v>
      </c>
      <c r="B286" s="2">
        <v>45834</v>
      </c>
      <c r="C286" t="s">
        <v>238</v>
      </c>
      <c r="D286" t="s">
        <v>40</v>
      </c>
      <c r="E286" t="s">
        <v>32</v>
      </c>
      <c r="F286" t="s">
        <v>18</v>
      </c>
      <c r="G286" t="s">
        <v>60</v>
      </c>
      <c r="H286">
        <v>11</v>
      </c>
      <c r="I286" s="3">
        <v>1800</v>
      </c>
      <c r="J286" s="3">
        <v>2800</v>
      </c>
      <c r="K286" s="3">
        <v>30800</v>
      </c>
      <c r="L286" s="3">
        <v>19800</v>
      </c>
      <c r="M286" s="3">
        <v>11000</v>
      </c>
      <c r="N286" s="5">
        <v>0.35714285714285721</v>
      </c>
    </row>
    <row r="287" spans="1:14" x14ac:dyDescent="0.3">
      <c r="A287" t="s">
        <v>451</v>
      </c>
      <c r="B287" s="2">
        <v>45752</v>
      </c>
      <c r="C287" t="s">
        <v>69</v>
      </c>
      <c r="D287" t="s">
        <v>22</v>
      </c>
      <c r="E287" t="s">
        <v>23</v>
      </c>
      <c r="F287" t="s">
        <v>18</v>
      </c>
      <c r="G287" t="s">
        <v>37</v>
      </c>
      <c r="H287">
        <v>3</v>
      </c>
      <c r="I287" s="3">
        <v>400</v>
      </c>
      <c r="J287" s="3">
        <v>650</v>
      </c>
      <c r="K287" s="3">
        <v>1950</v>
      </c>
      <c r="L287" s="3">
        <v>1200</v>
      </c>
      <c r="M287" s="3">
        <v>750</v>
      </c>
      <c r="N287" s="5">
        <v>0.38461538461538458</v>
      </c>
    </row>
    <row r="288" spans="1:14" x14ac:dyDescent="0.3">
      <c r="A288" t="s">
        <v>452</v>
      </c>
      <c r="B288" s="2">
        <v>45735</v>
      </c>
      <c r="C288" t="s">
        <v>351</v>
      </c>
      <c r="D288" t="s">
        <v>35</v>
      </c>
      <c r="E288" t="s">
        <v>32</v>
      </c>
      <c r="F288" t="s">
        <v>24</v>
      </c>
      <c r="G288" t="s">
        <v>63</v>
      </c>
      <c r="H288">
        <v>14</v>
      </c>
      <c r="I288" s="3">
        <v>42000</v>
      </c>
      <c r="J288" s="3">
        <v>55000</v>
      </c>
      <c r="K288" s="3">
        <v>770000</v>
      </c>
      <c r="L288" s="3">
        <v>588000</v>
      </c>
      <c r="M288" s="3">
        <v>182000</v>
      </c>
      <c r="N288" s="5">
        <v>0.23636363636363639</v>
      </c>
    </row>
    <row r="289" spans="1:14" x14ac:dyDescent="0.3">
      <c r="A289" t="s">
        <v>453</v>
      </c>
      <c r="B289" s="2">
        <v>45667</v>
      </c>
      <c r="C289" t="s">
        <v>307</v>
      </c>
      <c r="D289" t="s">
        <v>22</v>
      </c>
      <c r="E289" t="s">
        <v>23</v>
      </c>
      <c r="F289" t="s">
        <v>24</v>
      </c>
      <c r="G289" t="s">
        <v>29</v>
      </c>
      <c r="H289">
        <v>11</v>
      </c>
      <c r="I289" s="3">
        <v>12000</v>
      </c>
      <c r="J289" s="3">
        <v>16500</v>
      </c>
      <c r="K289" s="3">
        <v>181500</v>
      </c>
      <c r="L289" s="3">
        <v>132000</v>
      </c>
      <c r="M289" s="3">
        <v>49500</v>
      </c>
      <c r="N289" s="5">
        <v>0.27272727272727271</v>
      </c>
    </row>
    <row r="290" spans="1:14" x14ac:dyDescent="0.3">
      <c r="A290" t="s">
        <v>454</v>
      </c>
      <c r="B290" s="2">
        <v>45954</v>
      </c>
      <c r="C290" t="s">
        <v>146</v>
      </c>
      <c r="D290" t="s">
        <v>40</v>
      </c>
      <c r="E290" t="s">
        <v>23</v>
      </c>
      <c r="F290" t="s">
        <v>18</v>
      </c>
      <c r="G290" t="s">
        <v>72</v>
      </c>
      <c r="H290">
        <v>7</v>
      </c>
      <c r="I290" s="3">
        <v>900</v>
      </c>
      <c r="J290" s="3">
        <v>1500</v>
      </c>
      <c r="K290" s="3">
        <v>10500</v>
      </c>
      <c r="L290" s="3">
        <v>6300</v>
      </c>
      <c r="M290" s="3">
        <v>4200</v>
      </c>
      <c r="N290" s="5">
        <v>0.4</v>
      </c>
    </row>
    <row r="291" spans="1:14" x14ac:dyDescent="0.3">
      <c r="A291" t="s">
        <v>455</v>
      </c>
      <c r="B291" s="2">
        <v>45803</v>
      </c>
      <c r="C291" t="s">
        <v>274</v>
      </c>
      <c r="D291" t="s">
        <v>22</v>
      </c>
      <c r="E291" t="s">
        <v>55</v>
      </c>
      <c r="F291" t="s">
        <v>24</v>
      </c>
      <c r="G291" t="s">
        <v>63</v>
      </c>
      <c r="H291">
        <v>3</v>
      </c>
      <c r="I291" s="3">
        <v>42000</v>
      </c>
      <c r="J291" s="3">
        <v>55000</v>
      </c>
      <c r="K291" s="3">
        <v>165000</v>
      </c>
      <c r="L291" s="3">
        <v>126000</v>
      </c>
      <c r="M291" s="3">
        <v>39000</v>
      </c>
      <c r="N291" s="5">
        <v>0.23636363636363639</v>
      </c>
    </row>
    <row r="292" spans="1:14" x14ac:dyDescent="0.3">
      <c r="A292" t="s">
        <v>456</v>
      </c>
      <c r="B292" s="2">
        <v>45726</v>
      </c>
      <c r="C292" t="s">
        <v>367</v>
      </c>
      <c r="D292" t="s">
        <v>46</v>
      </c>
      <c r="E292" t="s">
        <v>55</v>
      </c>
      <c r="F292" t="s">
        <v>18</v>
      </c>
      <c r="G292" t="s">
        <v>76</v>
      </c>
      <c r="H292">
        <v>20</v>
      </c>
      <c r="I292" s="3">
        <v>2500</v>
      </c>
      <c r="J292" s="3">
        <v>3600</v>
      </c>
      <c r="K292" s="3">
        <v>72000</v>
      </c>
      <c r="L292" s="3">
        <v>50000</v>
      </c>
      <c r="M292" s="3">
        <v>22000</v>
      </c>
      <c r="N292" s="5">
        <v>0.30555555555555558</v>
      </c>
    </row>
    <row r="293" spans="1:14" x14ac:dyDescent="0.3">
      <c r="A293" t="s">
        <v>457</v>
      </c>
      <c r="B293" s="2">
        <v>45853</v>
      </c>
      <c r="C293" t="s">
        <v>161</v>
      </c>
      <c r="D293" t="s">
        <v>35</v>
      </c>
      <c r="E293" t="s">
        <v>17</v>
      </c>
      <c r="F293" t="s">
        <v>18</v>
      </c>
      <c r="G293" t="s">
        <v>72</v>
      </c>
      <c r="H293">
        <v>5</v>
      </c>
      <c r="I293" s="3">
        <v>900</v>
      </c>
      <c r="J293" s="3">
        <v>1500</v>
      </c>
      <c r="K293" s="3">
        <v>7500</v>
      </c>
      <c r="L293" s="3">
        <v>4500</v>
      </c>
      <c r="M293" s="3">
        <v>3000</v>
      </c>
      <c r="N293" s="5">
        <v>0.4</v>
      </c>
    </row>
    <row r="294" spans="1:14" x14ac:dyDescent="0.3">
      <c r="A294" t="s">
        <v>458</v>
      </c>
      <c r="B294" s="2">
        <v>45819</v>
      </c>
      <c r="C294" t="s">
        <v>15</v>
      </c>
      <c r="D294" t="s">
        <v>22</v>
      </c>
      <c r="E294" t="s">
        <v>23</v>
      </c>
      <c r="F294" t="s">
        <v>41</v>
      </c>
      <c r="G294" t="s">
        <v>42</v>
      </c>
      <c r="H294">
        <v>14</v>
      </c>
      <c r="I294" s="3">
        <v>8500</v>
      </c>
      <c r="J294" s="3">
        <v>12000</v>
      </c>
      <c r="K294" s="3">
        <v>168000</v>
      </c>
      <c r="L294" s="3">
        <v>119000</v>
      </c>
      <c r="M294" s="3">
        <v>49000</v>
      </c>
      <c r="N294" s="5">
        <v>0.29166666666666669</v>
      </c>
    </row>
    <row r="295" spans="1:14" x14ac:dyDescent="0.3">
      <c r="A295" t="s">
        <v>459</v>
      </c>
      <c r="B295" s="2">
        <v>46008</v>
      </c>
      <c r="C295" t="s">
        <v>197</v>
      </c>
      <c r="D295" t="s">
        <v>35</v>
      </c>
      <c r="E295" t="s">
        <v>28</v>
      </c>
      <c r="F295" t="s">
        <v>24</v>
      </c>
      <c r="G295" t="s">
        <v>25</v>
      </c>
      <c r="H295">
        <v>10</v>
      </c>
      <c r="I295" s="3">
        <v>15000</v>
      </c>
      <c r="J295" s="3">
        <v>19500</v>
      </c>
      <c r="K295" s="3">
        <v>195000</v>
      </c>
      <c r="L295" s="3">
        <v>150000</v>
      </c>
      <c r="M295" s="3">
        <v>45000</v>
      </c>
      <c r="N295" s="5">
        <v>0.23076923076923081</v>
      </c>
    </row>
    <row r="296" spans="1:14" x14ac:dyDescent="0.3">
      <c r="A296" t="s">
        <v>460</v>
      </c>
      <c r="B296" s="2">
        <v>45730</v>
      </c>
      <c r="C296" t="s">
        <v>461</v>
      </c>
      <c r="D296" t="s">
        <v>35</v>
      </c>
      <c r="E296" t="s">
        <v>23</v>
      </c>
      <c r="F296" t="s">
        <v>24</v>
      </c>
      <c r="G296" t="s">
        <v>29</v>
      </c>
      <c r="H296">
        <v>7</v>
      </c>
      <c r="I296" s="3">
        <v>12000</v>
      </c>
      <c r="J296" s="3">
        <v>16500</v>
      </c>
      <c r="K296" s="3">
        <v>115500</v>
      </c>
      <c r="L296" s="3">
        <v>84000</v>
      </c>
      <c r="M296" s="3">
        <v>31500</v>
      </c>
      <c r="N296" s="5">
        <v>0.27272727272727271</v>
      </c>
    </row>
    <row r="297" spans="1:14" x14ac:dyDescent="0.3">
      <c r="A297" t="s">
        <v>462</v>
      </c>
      <c r="B297" s="2">
        <v>45771</v>
      </c>
      <c r="C297" t="s">
        <v>331</v>
      </c>
      <c r="D297" t="s">
        <v>22</v>
      </c>
      <c r="E297" t="s">
        <v>55</v>
      </c>
      <c r="F297" t="s">
        <v>41</v>
      </c>
      <c r="G297" t="s">
        <v>42</v>
      </c>
      <c r="H297">
        <v>19</v>
      </c>
      <c r="I297" s="3">
        <v>8500</v>
      </c>
      <c r="J297" s="3">
        <v>12000</v>
      </c>
      <c r="K297" s="3">
        <v>228000</v>
      </c>
      <c r="L297" s="3">
        <v>161500</v>
      </c>
      <c r="M297" s="3">
        <v>66500</v>
      </c>
      <c r="N297" s="5">
        <v>0.29166666666666669</v>
      </c>
    </row>
    <row r="298" spans="1:14" x14ac:dyDescent="0.3">
      <c r="A298" t="s">
        <v>463</v>
      </c>
      <c r="B298" s="2">
        <v>45847</v>
      </c>
      <c r="C298" t="s">
        <v>371</v>
      </c>
      <c r="D298" t="s">
        <v>40</v>
      </c>
      <c r="E298" t="s">
        <v>28</v>
      </c>
      <c r="F298" t="s">
        <v>24</v>
      </c>
      <c r="G298" t="s">
        <v>63</v>
      </c>
      <c r="H298">
        <v>12</v>
      </c>
      <c r="I298" s="3">
        <v>42000</v>
      </c>
      <c r="J298" s="3">
        <v>55000</v>
      </c>
      <c r="K298" s="3">
        <v>660000</v>
      </c>
      <c r="L298" s="3">
        <v>504000</v>
      </c>
      <c r="M298" s="3">
        <v>156000</v>
      </c>
      <c r="N298" s="5">
        <v>0.23636363636363639</v>
      </c>
    </row>
    <row r="299" spans="1:14" x14ac:dyDescent="0.3">
      <c r="A299" t="s">
        <v>464</v>
      </c>
      <c r="B299" s="2">
        <v>45809</v>
      </c>
      <c r="C299" t="s">
        <v>57</v>
      </c>
      <c r="D299" t="s">
        <v>40</v>
      </c>
      <c r="E299" t="s">
        <v>28</v>
      </c>
      <c r="F299" t="s">
        <v>24</v>
      </c>
      <c r="G299" t="s">
        <v>63</v>
      </c>
      <c r="H299">
        <v>14</v>
      </c>
      <c r="I299" s="3">
        <v>42000</v>
      </c>
      <c r="J299" s="3">
        <v>55000</v>
      </c>
      <c r="K299" s="3">
        <v>770000</v>
      </c>
      <c r="L299" s="3">
        <v>588000</v>
      </c>
      <c r="M299" s="3">
        <v>182000</v>
      </c>
      <c r="N299" s="5">
        <v>0.23636363636363639</v>
      </c>
    </row>
    <row r="300" spans="1:14" x14ac:dyDescent="0.3">
      <c r="A300" t="s">
        <v>465</v>
      </c>
      <c r="B300" s="2">
        <v>45805</v>
      </c>
      <c r="C300" t="s">
        <v>154</v>
      </c>
      <c r="D300" t="s">
        <v>40</v>
      </c>
      <c r="E300" t="s">
        <v>17</v>
      </c>
      <c r="F300" t="s">
        <v>18</v>
      </c>
      <c r="G300" t="s">
        <v>19</v>
      </c>
      <c r="H300">
        <v>15</v>
      </c>
      <c r="I300" s="3">
        <v>1800</v>
      </c>
      <c r="J300" s="3">
        <v>2600</v>
      </c>
      <c r="K300" s="3">
        <v>39000</v>
      </c>
      <c r="L300" s="3">
        <v>27000</v>
      </c>
      <c r="M300" s="3">
        <v>12000</v>
      </c>
      <c r="N300" s="5">
        <v>0.30769230769230771</v>
      </c>
    </row>
    <row r="301" spans="1:14" x14ac:dyDescent="0.3">
      <c r="A301" t="s">
        <v>466</v>
      </c>
      <c r="B301" s="2">
        <v>45905</v>
      </c>
      <c r="C301" t="s">
        <v>114</v>
      </c>
      <c r="D301" t="s">
        <v>35</v>
      </c>
      <c r="E301" t="s">
        <v>23</v>
      </c>
      <c r="F301" t="s">
        <v>18</v>
      </c>
      <c r="G301" t="s">
        <v>37</v>
      </c>
      <c r="H301">
        <v>10</v>
      </c>
      <c r="I301" s="3">
        <v>400</v>
      </c>
      <c r="J301" s="3">
        <v>650</v>
      </c>
      <c r="K301" s="3">
        <v>6500</v>
      </c>
      <c r="L301" s="3">
        <v>4000</v>
      </c>
      <c r="M301" s="3">
        <v>2500</v>
      </c>
      <c r="N301" s="5">
        <v>0.38461538461538458</v>
      </c>
    </row>
    <row r="302" spans="1:14" x14ac:dyDescent="0.3">
      <c r="A302" t="s">
        <v>467</v>
      </c>
      <c r="B302" s="2">
        <v>45754</v>
      </c>
      <c r="C302" t="s">
        <v>399</v>
      </c>
      <c r="D302" t="s">
        <v>22</v>
      </c>
      <c r="E302" t="s">
        <v>17</v>
      </c>
      <c r="F302" t="s">
        <v>18</v>
      </c>
      <c r="G302" t="s">
        <v>19</v>
      </c>
      <c r="H302">
        <v>20</v>
      </c>
      <c r="I302" s="3">
        <v>1800</v>
      </c>
      <c r="J302" s="3">
        <v>2600</v>
      </c>
      <c r="K302" s="3">
        <v>52000</v>
      </c>
      <c r="L302" s="3">
        <v>36000</v>
      </c>
      <c r="M302" s="3">
        <v>16000</v>
      </c>
      <c r="N302" s="5">
        <v>0.30769230769230771</v>
      </c>
    </row>
    <row r="303" spans="1:14" x14ac:dyDescent="0.3">
      <c r="A303" t="s">
        <v>468</v>
      </c>
      <c r="B303" s="2">
        <v>45880</v>
      </c>
      <c r="C303" t="s">
        <v>349</v>
      </c>
      <c r="D303" t="s">
        <v>40</v>
      </c>
      <c r="E303" t="s">
        <v>17</v>
      </c>
      <c r="F303" t="s">
        <v>18</v>
      </c>
      <c r="G303" t="s">
        <v>76</v>
      </c>
      <c r="H303">
        <v>2</v>
      </c>
      <c r="I303" s="3">
        <v>2500</v>
      </c>
      <c r="J303" s="3">
        <v>3600</v>
      </c>
      <c r="K303" s="3">
        <v>7200</v>
      </c>
      <c r="L303" s="3">
        <v>5000</v>
      </c>
      <c r="M303" s="3">
        <v>2200</v>
      </c>
      <c r="N303" s="5">
        <v>0.30555555555555558</v>
      </c>
    </row>
    <row r="304" spans="1:14" x14ac:dyDescent="0.3">
      <c r="A304" t="s">
        <v>469</v>
      </c>
      <c r="B304" s="2">
        <v>45848</v>
      </c>
      <c r="C304" t="s">
        <v>470</v>
      </c>
      <c r="D304" t="s">
        <v>46</v>
      </c>
      <c r="E304" t="s">
        <v>28</v>
      </c>
      <c r="F304" t="s">
        <v>18</v>
      </c>
      <c r="G304" t="s">
        <v>76</v>
      </c>
      <c r="H304">
        <v>16</v>
      </c>
      <c r="I304" s="3">
        <v>2500</v>
      </c>
      <c r="J304" s="3">
        <v>3600</v>
      </c>
      <c r="K304" s="3">
        <v>57600</v>
      </c>
      <c r="L304" s="3">
        <v>40000</v>
      </c>
      <c r="M304" s="3">
        <v>17600</v>
      </c>
      <c r="N304" s="5">
        <v>0.30555555555555558</v>
      </c>
    </row>
    <row r="305" spans="1:14" x14ac:dyDescent="0.3">
      <c r="A305" t="s">
        <v>471</v>
      </c>
      <c r="B305" s="2">
        <v>45793</v>
      </c>
      <c r="C305" t="s">
        <v>472</v>
      </c>
      <c r="D305" t="s">
        <v>40</v>
      </c>
      <c r="E305" t="s">
        <v>55</v>
      </c>
      <c r="F305" t="s">
        <v>41</v>
      </c>
      <c r="G305" t="s">
        <v>42</v>
      </c>
      <c r="H305">
        <v>13</v>
      </c>
      <c r="I305" s="3">
        <v>8500</v>
      </c>
      <c r="J305" s="3">
        <v>12000</v>
      </c>
      <c r="K305" s="3">
        <v>156000</v>
      </c>
      <c r="L305" s="3">
        <v>110500</v>
      </c>
      <c r="M305" s="3">
        <v>45500</v>
      </c>
      <c r="N305" s="5">
        <v>0.29166666666666669</v>
      </c>
    </row>
    <row r="306" spans="1:14" x14ac:dyDescent="0.3">
      <c r="A306" t="s">
        <v>473</v>
      </c>
      <c r="B306" s="2">
        <v>45830</v>
      </c>
      <c r="C306" t="s">
        <v>407</v>
      </c>
      <c r="D306" t="s">
        <v>40</v>
      </c>
      <c r="E306" t="s">
        <v>55</v>
      </c>
      <c r="F306" t="s">
        <v>18</v>
      </c>
      <c r="G306" t="s">
        <v>37</v>
      </c>
      <c r="H306">
        <v>15</v>
      </c>
      <c r="I306" s="3">
        <v>400</v>
      </c>
      <c r="J306" s="3">
        <v>650</v>
      </c>
      <c r="K306" s="3">
        <v>9750</v>
      </c>
      <c r="L306" s="3">
        <v>6000</v>
      </c>
      <c r="M306" s="3">
        <v>3750</v>
      </c>
      <c r="N306" s="5">
        <v>0.38461538461538458</v>
      </c>
    </row>
    <row r="307" spans="1:14" x14ac:dyDescent="0.3">
      <c r="A307" t="s">
        <v>474</v>
      </c>
      <c r="B307" s="2">
        <v>45801</v>
      </c>
      <c r="C307" t="s">
        <v>161</v>
      </c>
      <c r="D307" t="s">
        <v>16</v>
      </c>
      <c r="E307" t="s">
        <v>32</v>
      </c>
      <c r="F307" t="s">
        <v>18</v>
      </c>
      <c r="G307" t="s">
        <v>60</v>
      </c>
      <c r="H307">
        <v>8</v>
      </c>
      <c r="I307" s="3">
        <v>1800</v>
      </c>
      <c r="J307" s="3">
        <v>2800</v>
      </c>
      <c r="K307" s="3">
        <v>22400</v>
      </c>
      <c r="L307" s="3">
        <v>14400</v>
      </c>
      <c r="M307" s="3">
        <v>8000</v>
      </c>
      <c r="N307" s="5">
        <v>0.35714285714285721</v>
      </c>
    </row>
    <row r="308" spans="1:14" x14ac:dyDescent="0.3">
      <c r="A308" t="s">
        <v>475</v>
      </c>
      <c r="B308" s="2">
        <v>45991</v>
      </c>
      <c r="C308" t="s">
        <v>213</v>
      </c>
      <c r="D308" t="s">
        <v>22</v>
      </c>
      <c r="E308" t="s">
        <v>32</v>
      </c>
      <c r="F308" t="s">
        <v>24</v>
      </c>
      <c r="G308" t="s">
        <v>29</v>
      </c>
      <c r="H308">
        <v>14</v>
      </c>
      <c r="I308" s="3">
        <v>12000</v>
      </c>
      <c r="J308" s="3">
        <v>16500</v>
      </c>
      <c r="K308" s="3">
        <v>231000</v>
      </c>
      <c r="L308" s="3">
        <v>168000</v>
      </c>
      <c r="M308" s="3">
        <v>63000</v>
      </c>
      <c r="N308" s="5">
        <v>0.27272727272727271</v>
      </c>
    </row>
    <row r="309" spans="1:14" x14ac:dyDescent="0.3">
      <c r="A309" t="s">
        <v>476</v>
      </c>
      <c r="B309" s="2">
        <v>45772</v>
      </c>
      <c r="C309" t="s">
        <v>146</v>
      </c>
      <c r="D309" t="s">
        <v>16</v>
      </c>
      <c r="E309" t="s">
        <v>32</v>
      </c>
      <c r="F309" t="s">
        <v>18</v>
      </c>
      <c r="G309" t="s">
        <v>37</v>
      </c>
      <c r="H309">
        <v>14</v>
      </c>
      <c r="I309" s="3">
        <v>400</v>
      </c>
      <c r="J309" s="3">
        <v>650</v>
      </c>
      <c r="K309" s="3">
        <v>9100</v>
      </c>
      <c r="L309" s="3">
        <v>5600</v>
      </c>
      <c r="M309" s="3">
        <v>3500</v>
      </c>
      <c r="N309" s="5">
        <v>0.38461538461538458</v>
      </c>
    </row>
    <row r="310" spans="1:14" x14ac:dyDescent="0.3">
      <c r="A310" t="s">
        <v>477</v>
      </c>
      <c r="B310" s="2">
        <v>45792</v>
      </c>
      <c r="C310" t="s">
        <v>287</v>
      </c>
      <c r="D310" t="s">
        <v>16</v>
      </c>
      <c r="E310" t="s">
        <v>36</v>
      </c>
      <c r="F310" t="s">
        <v>18</v>
      </c>
      <c r="G310" t="s">
        <v>60</v>
      </c>
      <c r="H310">
        <v>3</v>
      </c>
      <c r="I310" s="3">
        <v>1800</v>
      </c>
      <c r="J310" s="3">
        <v>2800</v>
      </c>
      <c r="K310" s="3">
        <v>8400</v>
      </c>
      <c r="L310" s="3">
        <v>5400</v>
      </c>
      <c r="M310" s="3">
        <v>3000</v>
      </c>
      <c r="N310" s="5">
        <v>0.35714285714285721</v>
      </c>
    </row>
    <row r="311" spans="1:14" x14ac:dyDescent="0.3">
      <c r="A311" t="s">
        <v>478</v>
      </c>
      <c r="B311" s="2">
        <v>45716</v>
      </c>
      <c r="C311" t="s">
        <v>361</v>
      </c>
      <c r="D311" t="s">
        <v>16</v>
      </c>
      <c r="E311" t="s">
        <v>28</v>
      </c>
      <c r="F311" t="s">
        <v>47</v>
      </c>
      <c r="G311" t="s">
        <v>48</v>
      </c>
      <c r="H311">
        <v>3</v>
      </c>
      <c r="I311" s="3">
        <v>2800</v>
      </c>
      <c r="J311" s="3">
        <v>4200</v>
      </c>
      <c r="K311" s="3">
        <v>12600</v>
      </c>
      <c r="L311" s="3">
        <v>8400</v>
      </c>
      <c r="M311" s="3">
        <v>4200</v>
      </c>
      <c r="N311" s="5">
        <v>0.33333333333333331</v>
      </c>
    </row>
    <row r="312" spans="1:14" x14ac:dyDescent="0.3">
      <c r="A312" t="s">
        <v>479</v>
      </c>
      <c r="B312" s="2">
        <v>45851</v>
      </c>
      <c r="C312" t="s">
        <v>54</v>
      </c>
      <c r="D312" t="s">
        <v>22</v>
      </c>
      <c r="E312" t="s">
        <v>55</v>
      </c>
      <c r="F312" t="s">
        <v>47</v>
      </c>
      <c r="G312" t="s">
        <v>48</v>
      </c>
      <c r="H312">
        <v>9</v>
      </c>
      <c r="I312" s="3">
        <v>2800</v>
      </c>
      <c r="J312" s="3">
        <v>4200</v>
      </c>
      <c r="K312" s="3">
        <v>37800</v>
      </c>
      <c r="L312" s="3">
        <v>25200</v>
      </c>
      <c r="M312" s="3">
        <v>12600</v>
      </c>
      <c r="N312" s="5">
        <v>0.33333333333333331</v>
      </c>
    </row>
    <row r="313" spans="1:14" x14ac:dyDescent="0.3">
      <c r="A313" t="s">
        <v>480</v>
      </c>
      <c r="B313" s="2">
        <v>45687</v>
      </c>
      <c r="C313" t="s">
        <v>161</v>
      </c>
      <c r="D313" t="s">
        <v>40</v>
      </c>
      <c r="E313" t="s">
        <v>23</v>
      </c>
      <c r="F313" t="s">
        <v>24</v>
      </c>
      <c r="G313" t="s">
        <v>25</v>
      </c>
      <c r="H313">
        <v>17</v>
      </c>
      <c r="I313" s="3">
        <v>15000</v>
      </c>
      <c r="J313" s="3">
        <v>19500</v>
      </c>
      <c r="K313" s="3">
        <v>331500</v>
      </c>
      <c r="L313" s="3">
        <v>255000</v>
      </c>
      <c r="M313" s="3">
        <v>76500</v>
      </c>
      <c r="N313" s="5">
        <v>0.23076923076923081</v>
      </c>
    </row>
    <row r="314" spans="1:14" x14ac:dyDescent="0.3">
      <c r="A314" t="s">
        <v>481</v>
      </c>
      <c r="B314" s="2">
        <v>45725</v>
      </c>
      <c r="C314" t="s">
        <v>52</v>
      </c>
      <c r="D314" t="s">
        <v>35</v>
      </c>
      <c r="E314" t="s">
        <v>36</v>
      </c>
      <c r="F314" t="s">
        <v>18</v>
      </c>
      <c r="G314" t="s">
        <v>76</v>
      </c>
      <c r="H314">
        <v>12</v>
      </c>
      <c r="I314" s="3">
        <v>2500</v>
      </c>
      <c r="J314" s="3">
        <v>3600</v>
      </c>
      <c r="K314" s="3">
        <v>43200</v>
      </c>
      <c r="L314" s="3">
        <v>30000</v>
      </c>
      <c r="M314" s="3">
        <v>13200</v>
      </c>
      <c r="N314" s="5">
        <v>0.30555555555555558</v>
      </c>
    </row>
    <row r="315" spans="1:14" x14ac:dyDescent="0.3">
      <c r="A315" t="s">
        <v>482</v>
      </c>
      <c r="B315" s="2">
        <v>45878</v>
      </c>
      <c r="C315" t="s">
        <v>200</v>
      </c>
      <c r="D315" t="s">
        <v>16</v>
      </c>
      <c r="E315" t="s">
        <v>32</v>
      </c>
      <c r="F315" t="s">
        <v>41</v>
      </c>
      <c r="G315" t="s">
        <v>42</v>
      </c>
      <c r="H315">
        <v>20</v>
      </c>
      <c r="I315" s="3">
        <v>8500</v>
      </c>
      <c r="J315" s="3">
        <v>12000</v>
      </c>
      <c r="K315" s="3">
        <v>240000</v>
      </c>
      <c r="L315" s="3">
        <v>170000</v>
      </c>
      <c r="M315" s="3">
        <v>70000</v>
      </c>
      <c r="N315" s="5">
        <v>0.29166666666666669</v>
      </c>
    </row>
    <row r="316" spans="1:14" x14ac:dyDescent="0.3">
      <c r="A316" t="s">
        <v>483</v>
      </c>
      <c r="B316" s="2">
        <v>45954</v>
      </c>
      <c r="C316" t="s">
        <v>97</v>
      </c>
      <c r="D316" t="s">
        <v>46</v>
      </c>
      <c r="E316" t="s">
        <v>32</v>
      </c>
      <c r="F316" t="s">
        <v>24</v>
      </c>
      <c r="G316" t="s">
        <v>63</v>
      </c>
      <c r="H316">
        <v>16</v>
      </c>
      <c r="I316" s="3">
        <v>42000</v>
      </c>
      <c r="J316" s="3">
        <v>55000</v>
      </c>
      <c r="K316" s="3">
        <v>880000</v>
      </c>
      <c r="L316" s="3">
        <v>672000</v>
      </c>
      <c r="M316" s="3">
        <v>208000</v>
      </c>
      <c r="N316" s="5">
        <v>0.23636363636363639</v>
      </c>
    </row>
    <row r="317" spans="1:14" x14ac:dyDescent="0.3">
      <c r="A317" t="s">
        <v>484</v>
      </c>
      <c r="B317" s="2">
        <v>45808</v>
      </c>
      <c r="C317" t="s">
        <v>156</v>
      </c>
      <c r="D317" t="s">
        <v>40</v>
      </c>
      <c r="E317" t="s">
        <v>28</v>
      </c>
      <c r="F317" t="s">
        <v>24</v>
      </c>
      <c r="G317" t="s">
        <v>63</v>
      </c>
      <c r="H317">
        <v>1</v>
      </c>
      <c r="I317" s="3">
        <v>42000</v>
      </c>
      <c r="J317" s="3">
        <v>55000</v>
      </c>
      <c r="K317" s="3">
        <v>55000</v>
      </c>
      <c r="L317" s="3">
        <v>42000</v>
      </c>
      <c r="M317" s="3">
        <v>13000</v>
      </c>
      <c r="N317" s="5">
        <v>0.23636363636363639</v>
      </c>
    </row>
    <row r="318" spans="1:14" x14ac:dyDescent="0.3">
      <c r="A318" t="s">
        <v>485</v>
      </c>
      <c r="B318" s="2">
        <v>45899</v>
      </c>
      <c r="C318" t="s">
        <v>255</v>
      </c>
      <c r="D318" t="s">
        <v>40</v>
      </c>
      <c r="E318" t="s">
        <v>36</v>
      </c>
      <c r="F318" t="s">
        <v>24</v>
      </c>
      <c r="G318" t="s">
        <v>29</v>
      </c>
      <c r="H318">
        <v>6</v>
      </c>
      <c r="I318" s="3">
        <v>12000</v>
      </c>
      <c r="J318" s="3">
        <v>16500</v>
      </c>
      <c r="K318" s="3">
        <v>99000</v>
      </c>
      <c r="L318" s="3">
        <v>72000</v>
      </c>
      <c r="M318" s="3">
        <v>27000</v>
      </c>
      <c r="N318" s="5">
        <v>0.27272727272727271</v>
      </c>
    </row>
    <row r="319" spans="1:14" x14ac:dyDescent="0.3">
      <c r="A319" t="s">
        <v>486</v>
      </c>
      <c r="B319" s="2">
        <v>46003</v>
      </c>
      <c r="C319" t="s">
        <v>487</v>
      </c>
      <c r="D319" t="s">
        <v>22</v>
      </c>
      <c r="E319" t="s">
        <v>23</v>
      </c>
      <c r="F319" t="s">
        <v>18</v>
      </c>
      <c r="G319" t="s">
        <v>60</v>
      </c>
      <c r="H319">
        <v>9</v>
      </c>
      <c r="I319" s="3">
        <v>1800</v>
      </c>
      <c r="J319" s="3">
        <v>2800</v>
      </c>
      <c r="K319" s="3">
        <v>25200</v>
      </c>
      <c r="L319" s="3">
        <v>16200</v>
      </c>
      <c r="M319" s="3">
        <v>9000</v>
      </c>
      <c r="N319" s="5">
        <v>0.35714285714285721</v>
      </c>
    </row>
    <row r="320" spans="1:14" x14ac:dyDescent="0.3">
      <c r="A320" t="s">
        <v>488</v>
      </c>
      <c r="B320" s="2">
        <v>45674</v>
      </c>
      <c r="C320" t="s">
        <v>472</v>
      </c>
      <c r="D320" t="s">
        <v>16</v>
      </c>
      <c r="E320" t="s">
        <v>23</v>
      </c>
      <c r="F320" t="s">
        <v>47</v>
      </c>
      <c r="G320" t="s">
        <v>48</v>
      </c>
      <c r="H320">
        <v>17</v>
      </c>
      <c r="I320" s="3">
        <v>2800</v>
      </c>
      <c r="J320" s="3">
        <v>4200</v>
      </c>
      <c r="K320" s="3">
        <v>71400</v>
      </c>
      <c r="L320" s="3">
        <v>47600</v>
      </c>
      <c r="M320" s="3">
        <v>23800</v>
      </c>
      <c r="N320" s="5">
        <v>0.33333333333333331</v>
      </c>
    </row>
    <row r="321" spans="1:14" x14ac:dyDescent="0.3">
      <c r="A321" t="s">
        <v>489</v>
      </c>
      <c r="B321" s="2">
        <v>45988</v>
      </c>
      <c r="C321" t="s">
        <v>235</v>
      </c>
      <c r="D321" t="s">
        <v>40</v>
      </c>
      <c r="E321" t="s">
        <v>55</v>
      </c>
      <c r="F321" t="s">
        <v>18</v>
      </c>
      <c r="G321" t="s">
        <v>37</v>
      </c>
      <c r="H321">
        <v>1</v>
      </c>
      <c r="I321" s="3">
        <v>400</v>
      </c>
      <c r="J321" s="3">
        <v>650</v>
      </c>
      <c r="K321" s="3">
        <v>650</v>
      </c>
      <c r="L321" s="3">
        <v>400</v>
      </c>
      <c r="M321" s="3">
        <v>250</v>
      </c>
      <c r="N321" s="5">
        <v>0.38461538461538458</v>
      </c>
    </row>
    <row r="322" spans="1:14" x14ac:dyDescent="0.3">
      <c r="A322" t="s">
        <v>490</v>
      </c>
      <c r="B322" s="2">
        <v>45829</v>
      </c>
      <c r="C322" t="s">
        <v>311</v>
      </c>
      <c r="D322" t="s">
        <v>40</v>
      </c>
      <c r="E322" t="s">
        <v>23</v>
      </c>
      <c r="F322" t="s">
        <v>18</v>
      </c>
      <c r="G322" t="s">
        <v>72</v>
      </c>
      <c r="H322">
        <v>1</v>
      </c>
      <c r="I322" s="3">
        <v>900</v>
      </c>
      <c r="J322" s="3">
        <v>1500</v>
      </c>
      <c r="K322" s="3">
        <v>1500</v>
      </c>
      <c r="L322" s="3">
        <v>900</v>
      </c>
      <c r="M322" s="3">
        <v>600</v>
      </c>
      <c r="N322" s="5">
        <v>0.4</v>
      </c>
    </row>
    <row r="323" spans="1:14" x14ac:dyDescent="0.3">
      <c r="A323" t="s">
        <v>491</v>
      </c>
      <c r="B323" s="2">
        <v>45781</v>
      </c>
      <c r="C323" t="s">
        <v>69</v>
      </c>
      <c r="D323" t="s">
        <v>22</v>
      </c>
      <c r="E323" t="s">
        <v>17</v>
      </c>
      <c r="F323" t="s">
        <v>18</v>
      </c>
      <c r="G323" t="s">
        <v>19</v>
      </c>
      <c r="H323">
        <v>16</v>
      </c>
      <c r="I323" s="3">
        <v>1800</v>
      </c>
      <c r="J323" s="3">
        <v>2600</v>
      </c>
      <c r="K323" s="3">
        <v>41600</v>
      </c>
      <c r="L323" s="3">
        <v>28800</v>
      </c>
      <c r="M323" s="3">
        <v>12800</v>
      </c>
      <c r="N323" s="5">
        <v>0.30769230769230771</v>
      </c>
    </row>
    <row r="324" spans="1:14" x14ac:dyDescent="0.3">
      <c r="A324" t="s">
        <v>492</v>
      </c>
      <c r="B324" s="2">
        <v>45837</v>
      </c>
      <c r="C324" t="s">
        <v>493</v>
      </c>
      <c r="D324" t="s">
        <v>35</v>
      </c>
      <c r="E324" t="s">
        <v>17</v>
      </c>
      <c r="F324" t="s">
        <v>24</v>
      </c>
      <c r="G324" t="s">
        <v>63</v>
      </c>
      <c r="H324">
        <v>13</v>
      </c>
      <c r="I324" s="3">
        <v>42000</v>
      </c>
      <c r="J324" s="3">
        <v>55000</v>
      </c>
      <c r="K324" s="3">
        <v>715000</v>
      </c>
      <c r="L324" s="3">
        <v>546000</v>
      </c>
      <c r="M324" s="3">
        <v>169000</v>
      </c>
      <c r="N324" s="5">
        <v>0.23636363636363639</v>
      </c>
    </row>
    <row r="325" spans="1:14" x14ac:dyDescent="0.3">
      <c r="A325" t="s">
        <v>494</v>
      </c>
      <c r="B325" s="2">
        <v>45881</v>
      </c>
      <c r="C325" t="s">
        <v>412</v>
      </c>
      <c r="D325" t="s">
        <v>35</v>
      </c>
      <c r="E325" t="s">
        <v>55</v>
      </c>
      <c r="F325" t="s">
        <v>24</v>
      </c>
      <c r="G325" t="s">
        <v>29</v>
      </c>
      <c r="H325">
        <v>5</v>
      </c>
      <c r="I325" s="3">
        <v>12000</v>
      </c>
      <c r="J325" s="3">
        <v>16500</v>
      </c>
      <c r="K325" s="3">
        <v>82500</v>
      </c>
      <c r="L325" s="3">
        <v>60000</v>
      </c>
      <c r="M325" s="3">
        <v>22500</v>
      </c>
      <c r="N325" s="5">
        <v>0.27272727272727271</v>
      </c>
    </row>
    <row r="326" spans="1:14" x14ac:dyDescent="0.3">
      <c r="A326" t="s">
        <v>495</v>
      </c>
      <c r="B326" s="2">
        <v>45937</v>
      </c>
      <c r="C326" t="s">
        <v>412</v>
      </c>
      <c r="D326" t="s">
        <v>40</v>
      </c>
      <c r="E326" t="s">
        <v>28</v>
      </c>
      <c r="F326" t="s">
        <v>18</v>
      </c>
      <c r="G326" t="s">
        <v>76</v>
      </c>
      <c r="H326">
        <v>3</v>
      </c>
      <c r="I326" s="3">
        <v>2500</v>
      </c>
      <c r="J326" s="3">
        <v>3600</v>
      </c>
      <c r="K326" s="3">
        <v>10800</v>
      </c>
      <c r="L326" s="3">
        <v>7500</v>
      </c>
      <c r="M326" s="3">
        <v>3300</v>
      </c>
      <c r="N326" s="5">
        <v>0.30555555555555558</v>
      </c>
    </row>
    <row r="327" spans="1:14" x14ac:dyDescent="0.3">
      <c r="A327" t="s">
        <v>496</v>
      </c>
      <c r="B327" s="2">
        <v>45693</v>
      </c>
      <c r="C327" t="s">
        <v>140</v>
      </c>
      <c r="D327" t="s">
        <v>40</v>
      </c>
      <c r="E327" t="s">
        <v>36</v>
      </c>
      <c r="F327" t="s">
        <v>24</v>
      </c>
      <c r="G327" t="s">
        <v>25</v>
      </c>
      <c r="H327">
        <v>5</v>
      </c>
      <c r="I327" s="3">
        <v>15000</v>
      </c>
      <c r="J327" s="3">
        <v>19500</v>
      </c>
      <c r="K327" s="3">
        <v>97500</v>
      </c>
      <c r="L327" s="3">
        <v>75000</v>
      </c>
      <c r="M327" s="3">
        <v>22500</v>
      </c>
      <c r="N327" s="5">
        <v>0.23076923076923081</v>
      </c>
    </row>
    <row r="328" spans="1:14" x14ac:dyDescent="0.3">
      <c r="A328" t="s">
        <v>497</v>
      </c>
      <c r="B328" s="2">
        <v>45671</v>
      </c>
      <c r="C328" t="s">
        <v>498</v>
      </c>
      <c r="D328" t="s">
        <v>16</v>
      </c>
      <c r="E328" t="s">
        <v>28</v>
      </c>
      <c r="F328" t="s">
        <v>24</v>
      </c>
      <c r="G328" t="s">
        <v>29</v>
      </c>
      <c r="H328">
        <v>20</v>
      </c>
      <c r="I328" s="3">
        <v>12000</v>
      </c>
      <c r="J328" s="3">
        <v>16500</v>
      </c>
      <c r="K328" s="3">
        <v>330000</v>
      </c>
      <c r="L328" s="3">
        <v>240000</v>
      </c>
      <c r="M328" s="3">
        <v>90000</v>
      </c>
      <c r="N328" s="5">
        <v>0.27272727272727271</v>
      </c>
    </row>
    <row r="329" spans="1:14" x14ac:dyDescent="0.3">
      <c r="A329" t="s">
        <v>499</v>
      </c>
      <c r="B329" s="2">
        <v>45801</v>
      </c>
      <c r="C329" t="s">
        <v>351</v>
      </c>
      <c r="D329" t="s">
        <v>40</v>
      </c>
      <c r="E329" t="s">
        <v>32</v>
      </c>
      <c r="F329" t="s">
        <v>18</v>
      </c>
      <c r="G329" t="s">
        <v>60</v>
      </c>
      <c r="H329">
        <v>5</v>
      </c>
      <c r="I329" s="3">
        <v>1800</v>
      </c>
      <c r="J329" s="3">
        <v>2800</v>
      </c>
      <c r="K329" s="3">
        <v>14000</v>
      </c>
      <c r="L329" s="3">
        <v>9000</v>
      </c>
      <c r="M329" s="3">
        <v>5000</v>
      </c>
      <c r="N329" s="5">
        <v>0.35714285714285721</v>
      </c>
    </row>
    <row r="330" spans="1:14" x14ac:dyDescent="0.3">
      <c r="A330" t="s">
        <v>500</v>
      </c>
      <c r="B330" s="2">
        <v>45912</v>
      </c>
      <c r="C330" t="s">
        <v>156</v>
      </c>
      <c r="D330" t="s">
        <v>46</v>
      </c>
      <c r="E330" t="s">
        <v>23</v>
      </c>
      <c r="F330" t="s">
        <v>41</v>
      </c>
      <c r="G330" t="s">
        <v>42</v>
      </c>
      <c r="H330">
        <v>8</v>
      </c>
      <c r="I330" s="3">
        <v>8500</v>
      </c>
      <c r="J330" s="3">
        <v>12000</v>
      </c>
      <c r="K330" s="3">
        <v>96000</v>
      </c>
      <c r="L330" s="3">
        <v>68000</v>
      </c>
      <c r="M330" s="3">
        <v>28000</v>
      </c>
      <c r="N330" s="5">
        <v>0.29166666666666669</v>
      </c>
    </row>
    <row r="331" spans="1:14" x14ac:dyDescent="0.3">
      <c r="A331" t="s">
        <v>501</v>
      </c>
      <c r="B331" s="2">
        <v>45958</v>
      </c>
      <c r="C331" t="s">
        <v>87</v>
      </c>
      <c r="D331" t="s">
        <v>40</v>
      </c>
      <c r="E331" t="s">
        <v>32</v>
      </c>
      <c r="F331" t="s">
        <v>18</v>
      </c>
      <c r="G331" t="s">
        <v>72</v>
      </c>
      <c r="H331">
        <v>3</v>
      </c>
      <c r="I331" s="3">
        <v>900</v>
      </c>
      <c r="J331" s="3">
        <v>1500</v>
      </c>
      <c r="K331" s="3">
        <v>4500</v>
      </c>
      <c r="L331" s="3">
        <v>2700</v>
      </c>
      <c r="M331" s="3">
        <v>1800</v>
      </c>
      <c r="N331" s="5">
        <v>0.4</v>
      </c>
    </row>
    <row r="332" spans="1:14" x14ac:dyDescent="0.3">
      <c r="A332" t="s">
        <v>502</v>
      </c>
      <c r="B332" s="2">
        <v>45670</v>
      </c>
      <c r="C332" t="s">
        <v>54</v>
      </c>
      <c r="D332" t="s">
        <v>35</v>
      </c>
      <c r="E332" t="s">
        <v>23</v>
      </c>
      <c r="F332" t="s">
        <v>18</v>
      </c>
      <c r="G332" t="s">
        <v>72</v>
      </c>
      <c r="H332">
        <v>5</v>
      </c>
      <c r="I332" s="3">
        <v>900</v>
      </c>
      <c r="J332" s="3">
        <v>1500</v>
      </c>
      <c r="K332" s="3">
        <v>7500</v>
      </c>
      <c r="L332" s="3">
        <v>4500</v>
      </c>
      <c r="M332" s="3">
        <v>3000</v>
      </c>
      <c r="N332" s="5">
        <v>0.4</v>
      </c>
    </row>
    <row r="333" spans="1:14" x14ac:dyDescent="0.3">
      <c r="A333" t="s">
        <v>503</v>
      </c>
      <c r="B333" s="2">
        <v>45882</v>
      </c>
      <c r="C333" t="s">
        <v>418</v>
      </c>
      <c r="D333" t="s">
        <v>22</v>
      </c>
      <c r="E333" t="s">
        <v>55</v>
      </c>
      <c r="F333" t="s">
        <v>24</v>
      </c>
      <c r="G333" t="s">
        <v>29</v>
      </c>
      <c r="H333">
        <v>4</v>
      </c>
      <c r="I333" s="3">
        <v>12000</v>
      </c>
      <c r="J333" s="3">
        <v>16500</v>
      </c>
      <c r="K333" s="3">
        <v>66000</v>
      </c>
      <c r="L333" s="3">
        <v>48000</v>
      </c>
      <c r="M333" s="3">
        <v>18000</v>
      </c>
      <c r="N333" s="5">
        <v>0.27272727272727271</v>
      </c>
    </row>
    <row r="334" spans="1:14" x14ac:dyDescent="0.3">
      <c r="A334" t="s">
        <v>504</v>
      </c>
      <c r="B334" s="2">
        <v>45999</v>
      </c>
      <c r="C334" t="s">
        <v>235</v>
      </c>
      <c r="D334" t="s">
        <v>46</v>
      </c>
      <c r="E334" t="s">
        <v>36</v>
      </c>
      <c r="F334" t="s">
        <v>18</v>
      </c>
      <c r="G334" t="s">
        <v>76</v>
      </c>
      <c r="H334">
        <v>5</v>
      </c>
      <c r="I334" s="3">
        <v>2500</v>
      </c>
      <c r="J334" s="3">
        <v>3600</v>
      </c>
      <c r="K334" s="3">
        <v>18000</v>
      </c>
      <c r="L334" s="3">
        <v>12500</v>
      </c>
      <c r="M334" s="3">
        <v>5500</v>
      </c>
      <c r="N334" s="5">
        <v>0.30555555555555558</v>
      </c>
    </row>
    <row r="335" spans="1:14" x14ac:dyDescent="0.3">
      <c r="A335" t="s">
        <v>505</v>
      </c>
      <c r="B335" s="2">
        <v>45907</v>
      </c>
      <c r="C335" t="s">
        <v>506</v>
      </c>
      <c r="D335" t="s">
        <v>16</v>
      </c>
      <c r="E335" t="s">
        <v>32</v>
      </c>
      <c r="F335" t="s">
        <v>18</v>
      </c>
      <c r="G335" t="s">
        <v>37</v>
      </c>
      <c r="H335">
        <v>2</v>
      </c>
      <c r="I335" s="3">
        <v>400</v>
      </c>
      <c r="J335" s="3">
        <v>650</v>
      </c>
      <c r="K335" s="3">
        <v>1300</v>
      </c>
      <c r="L335" s="3">
        <v>800</v>
      </c>
      <c r="M335" s="3">
        <v>500</v>
      </c>
      <c r="N335" s="5">
        <v>0.38461538461538458</v>
      </c>
    </row>
    <row r="336" spans="1:14" x14ac:dyDescent="0.3">
      <c r="A336" t="s">
        <v>507</v>
      </c>
      <c r="B336" s="2">
        <v>45659</v>
      </c>
      <c r="C336" t="s">
        <v>245</v>
      </c>
      <c r="D336" t="s">
        <v>22</v>
      </c>
      <c r="E336" t="s">
        <v>55</v>
      </c>
      <c r="F336" t="s">
        <v>47</v>
      </c>
      <c r="G336" t="s">
        <v>48</v>
      </c>
      <c r="H336">
        <v>11</v>
      </c>
      <c r="I336" s="3">
        <v>2800</v>
      </c>
      <c r="J336" s="3">
        <v>4200</v>
      </c>
      <c r="K336" s="3">
        <v>46200</v>
      </c>
      <c r="L336" s="3">
        <v>30800</v>
      </c>
      <c r="M336" s="3">
        <v>15400</v>
      </c>
      <c r="N336" s="5">
        <v>0.33333333333333331</v>
      </c>
    </row>
    <row r="337" spans="1:14" x14ac:dyDescent="0.3">
      <c r="A337" t="s">
        <v>508</v>
      </c>
      <c r="B337" s="2">
        <v>45933</v>
      </c>
      <c r="C337" t="s">
        <v>123</v>
      </c>
      <c r="D337" t="s">
        <v>35</v>
      </c>
      <c r="E337" t="s">
        <v>28</v>
      </c>
      <c r="F337" t="s">
        <v>18</v>
      </c>
      <c r="G337" t="s">
        <v>72</v>
      </c>
      <c r="H337">
        <v>12</v>
      </c>
      <c r="I337" s="3">
        <v>900</v>
      </c>
      <c r="J337" s="3">
        <v>1500</v>
      </c>
      <c r="K337" s="3">
        <v>18000</v>
      </c>
      <c r="L337" s="3">
        <v>10800</v>
      </c>
      <c r="M337" s="3">
        <v>7200</v>
      </c>
      <c r="N337" s="5">
        <v>0.4</v>
      </c>
    </row>
    <row r="338" spans="1:14" x14ac:dyDescent="0.3">
      <c r="A338" t="s">
        <v>509</v>
      </c>
      <c r="B338" s="2">
        <v>45766</v>
      </c>
      <c r="C338" t="s">
        <v>257</v>
      </c>
      <c r="D338" t="s">
        <v>46</v>
      </c>
      <c r="E338" t="s">
        <v>23</v>
      </c>
      <c r="F338" t="s">
        <v>18</v>
      </c>
      <c r="G338" t="s">
        <v>37</v>
      </c>
      <c r="H338">
        <v>18</v>
      </c>
      <c r="I338" s="3">
        <v>400</v>
      </c>
      <c r="J338" s="3">
        <v>650</v>
      </c>
      <c r="K338" s="3">
        <v>11700</v>
      </c>
      <c r="L338" s="3">
        <v>7200</v>
      </c>
      <c r="M338" s="3">
        <v>4500</v>
      </c>
      <c r="N338" s="5">
        <v>0.38461538461538458</v>
      </c>
    </row>
    <row r="339" spans="1:14" x14ac:dyDescent="0.3">
      <c r="A339" t="s">
        <v>510</v>
      </c>
      <c r="B339" s="2">
        <v>45849</v>
      </c>
      <c r="C339" t="s">
        <v>359</v>
      </c>
      <c r="D339" t="s">
        <v>22</v>
      </c>
      <c r="E339" t="s">
        <v>23</v>
      </c>
      <c r="F339" t="s">
        <v>18</v>
      </c>
      <c r="G339" t="s">
        <v>19</v>
      </c>
      <c r="H339">
        <v>10</v>
      </c>
      <c r="I339" s="3">
        <v>1800</v>
      </c>
      <c r="J339" s="3">
        <v>2600</v>
      </c>
      <c r="K339" s="3">
        <v>26000</v>
      </c>
      <c r="L339" s="3">
        <v>18000</v>
      </c>
      <c r="M339" s="3">
        <v>8000</v>
      </c>
      <c r="N339" s="5">
        <v>0.30769230769230771</v>
      </c>
    </row>
    <row r="340" spans="1:14" x14ac:dyDescent="0.3">
      <c r="A340" t="s">
        <v>511</v>
      </c>
      <c r="B340" s="2">
        <v>45731</v>
      </c>
      <c r="C340" t="s">
        <v>131</v>
      </c>
      <c r="D340" t="s">
        <v>40</v>
      </c>
      <c r="E340" t="s">
        <v>28</v>
      </c>
      <c r="F340" t="s">
        <v>18</v>
      </c>
      <c r="G340" t="s">
        <v>19</v>
      </c>
      <c r="H340">
        <v>3</v>
      </c>
      <c r="I340" s="3">
        <v>1800</v>
      </c>
      <c r="J340" s="3">
        <v>2600</v>
      </c>
      <c r="K340" s="3">
        <v>7800</v>
      </c>
      <c r="L340" s="3">
        <v>5400</v>
      </c>
      <c r="M340" s="3">
        <v>2400</v>
      </c>
      <c r="N340" s="5">
        <v>0.30769230769230771</v>
      </c>
    </row>
    <row r="341" spans="1:14" x14ac:dyDescent="0.3">
      <c r="A341" t="s">
        <v>512</v>
      </c>
      <c r="B341" s="2">
        <v>45886</v>
      </c>
      <c r="C341" t="s">
        <v>39</v>
      </c>
      <c r="D341" t="s">
        <v>46</v>
      </c>
      <c r="E341" t="s">
        <v>55</v>
      </c>
      <c r="F341" t="s">
        <v>18</v>
      </c>
      <c r="G341" t="s">
        <v>60</v>
      </c>
      <c r="H341">
        <v>4</v>
      </c>
      <c r="I341" s="3">
        <v>1800</v>
      </c>
      <c r="J341" s="3">
        <v>2800</v>
      </c>
      <c r="K341" s="3">
        <v>11200</v>
      </c>
      <c r="L341" s="3">
        <v>7200</v>
      </c>
      <c r="M341" s="3">
        <v>4000</v>
      </c>
      <c r="N341" s="5">
        <v>0.35714285714285721</v>
      </c>
    </row>
    <row r="342" spans="1:14" x14ac:dyDescent="0.3">
      <c r="A342" t="s">
        <v>513</v>
      </c>
      <c r="B342" s="2">
        <v>46017</v>
      </c>
      <c r="C342" t="s">
        <v>351</v>
      </c>
      <c r="D342" t="s">
        <v>46</v>
      </c>
      <c r="E342" t="s">
        <v>55</v>
      </c>
      <c r="F342" t="s">
        <v>47</v>
      </c>
      <c r="G342" t="s">
        <v>48</v>
      </c>
      <c r="H342">
        <v>2</v>
      </c>
      <c r="I342" s="3">
        <v>2800</v>
      </c>
      <c r="J342" s="3">
        <v>4200</v>
      </c>
      <c r="K342" s="3">
        <v>8400</v>
      </c>
      <c r="L342" s="3">
        <v>5600</v>
      </c>
      <c r="M342" s="3">
        <v>2800</v>
      </c>
      <c r="N342" s="5">
        <v>0.33333333333333331</v>
      </c>
    </row>
    <row r="343" spans="1:14" x14ac:dyDescent="0.3">
      <c r="A343" t="s">
        <v>514</v>
      </c>
      <c r="B343" s="2">
        <v>45858</v>
      </c>
      <c r="C343" t="s">
        <v>407</v>
      </c>
      <c r="D343" t="s">
        <v>35</v>
      </c>
      <c r="E343" t="s">
        <v>32</v>
      </c>
      <c r="F343" t="s">
        <v>18</v>
      </c>
      <c r="G343" t="s">
        <v>60</v>
      </c>
      <c r="H343">
        <v>10</v>
      </c>
      <c r="I343" s="3">
        <v>1800</v>
      </c>
      <c r="J343" s="3">
        <v>2800</v>
      </c>
      <c r="K343" s="3">
        <v>28000</v>
      </c>
      <c r="L343" s="3">
        <v>18000</v>
      </c>
      <c r="M343" s="3">
        <v>10000</v>
      </c>
      <c r="N343" s="5">
        <v>0.35714285714285721</v>
      </c>
    </row>
    <row r="344" spans="1:14" x14ac:dyDescent="0.3">
      <c r="A344" t="s">
        <v>515</v>
      </c>
      <c r="B344" s="2">
        <v>45887</v>
      </c>
      <c r="C344" t="s">
        <v>149</v>
      </c>
      <c r="D344" t="s">
        <v>16</v>
      </c>
      <c r="E344" t="s">
        <v>36</v>
      </c>
      <c r="F344" t="s">
        <v>24</v>
      </c>
      <c r="G344" t="s">
        <v>29</v>
      </c>
      <c r="H344">
        <v>6</v>
      </c>
      <c r="I344" s="3">
        <v>12000</v>
      </c>
      <c r="J344" s="3">
        <v>16500</v>
      </c>
      <c r="K344" s="3">
        <v>99000</v>
      </c>
      <c r="L344" s="3">
        <v>72000</v>
      </c>
      <c r="M344" s="3">
        <v>27000</v>
      </c>
      <c r="N344" s="5">
        <v>0.27272727272727271</v>
      </c>
    </row>
    <row r="345" spans="1:14" x14ac:dyDescent="0.3">
      <c r="A345" t="s">
        <v>516</v>
      </c>
      <c r="B345" s="2">
        <v>45887</v>
      </c>
      <c r="C345" t="s">
        <v>461</v>
      </c>
      <c r="D345" t="s">
        <v>16</v>
      </c>
      <c r="E345" t="s">
        <v>55</v>
      </c>
      <c r="F345" t="s">
        <v>18</v>
      </c>
      <c r="G345" t="s">
        <v>37</v>
      </c>
      <c r="H345">
        <v>19</v>
      </c>
      <c r="I345" s="3">
        <v>400</v>
      </c>
      <c r="J345" s="3">
        <v>650</v>
      </c>
      <c r="K345" s="3">
        <v>12350</v>
      </c>
      <c r="L345" s="3">
        <v>7600</v>
      </c>
      <c r="M345" s="3">
        <v>4750</v>
      </c>
      <c r="N345" s="5">
        <v>0.38461538461538458</v>
      </c>
    </row>
    <row r="346" spans="1:14" x14ac:dyDescent="0.3">
      <c r="A346" t="s">
        <v>517</v>
      </c>
      <c r="B346" s="2">
        <v>45903</v>
      </c>
      <c r="C346" t="s">
        <v>121</v>
      </c>
      <c r="D346" t="s">
        <v>35</v>
      </c>
      <c r="E346" t="s">
        <v>28</v>
      </c>
      <c r="F346" t="s">
        <v>18</v>
      </c>
      <c r="G346" t="s">
        <v>76</v>
      </c>
      <c r="H346">
        <v>15</v>
      </c>
      <c r="I346" s="3">
        <v>2500</v>
      </c>
      <c r="J346" s="3">
        <v>3600</v>
      </c>
      <c r="K346" s="3">
        <v>54000</v>
      </c>
      <c r="L346" s="3">
        <v>37500</v>
      </c>
      <c r="M346" s="3">
        <v>16500</v>
      </c>
      <c r="N346" s="5">
        <v>0.30555555555555558</v>
      </c>
    </row>
    <row r="347" spans="1:14" x14ac:dyDescent="0.3">
      <c r="A347" t="s">
        <v>518</v>
      </c>
      <c r="B347" s="2">
        <v>45888</v>
      </c>
      <c r="C347" t="s">
        <v>85</v>
      </c>
      <c r="D347" t="s">
        <v>35</v>
      </c>
      <c r="E347" t="s">
        <v>55</v>
      </c>
      <c r="F347" t="s">
        <v>18</v>
      </c>
      <c r="G347" t="s">
        <v>37</v>
      </c>
      <c r="H347">
        <v>13</v>
      </c>
      <c r="I347" s="3">
        <v>400</v>
      </c>
      <c r="J347" s="3">
        <v>650</v>
      </c>
      <c r="K347" s="3">
        <v>8450</v>
      </c>
      <c r="L347" s="3">
        <v>5200</v>
      </c>
      <c r="M347" s="3">
        <v>3250</v>
      </c>
      <c r="N347" s="5">
        <v>0.38461538461538458</v>
      </c>
    </row>
    <row r="348" spans="1:14" x14ac:dyDescent="0.3">
      <c r="A348" t="s">
        <v>519</v>
      </c>
      <c r="B348" s="2">
        <v>45868</v>
      </c>
      <c r="C348" t="s">
        <v>131</v>
      </c>
      <c r="D348" t="s">
        <v>46</v>
      </c>
      <c r="E348" t="s">
        <v>55</v>
      </c>
      <c r="F348" t="s">
        <v>18</v>
      </c>
      <c r="G348" t="s">
        <v>72</v>
      </c>
      <c r="H348">
        <v>14</v>
      </c>
      <c r="I348" s="3">
        <v>900</v>
      </c>
      <c r="J348" s="3">
        <v>1500</v>
      </c>
      <c r="K348" s="3">
        <v>21000</v>
      </c>
      <c r="L348" s="3">
        <v>12600</v>
      </c>
      <c r="M348" s="3">
        <v>8400</v>
      </c>
      <c r="N348" s="5">
        <v>0.4</v>
      </c>
    </row>
    <row r="349" spans="1:14" x14ac:dyDescent="0.3">
      <c r="A349" t="s">
        <v>520</v>
      </c>
      <c r="B349" s="2">
        <v>45864</v>
      </c>
      <c r="C349" t="s">
        <v>97</v>
      </c>
      <c r="D349" t="s">
        <v>46</v>
      </c>
      <c r="E349" t="s">
        <v>23</v>
      </c>
      <c r="F349" t="s">
        <v>18</v>
      </c>
      <c r="G349" t="s">
        <v>19</v>
      </c>
      <c r="H349">
        <v>9</v>
      </c>
      <c r="I349" s="3">
        <v>1800</v>
      </c>
      <c r="J349" s="3">
        <v>2600</v>
      </c>
      <c r="K349" s="3">
        <v>23400</v>
      </c>
      <c r="L349" s="3">
        <v>16200</v>
      </c>
      <c r="M349" s="3">
        <v>7200</v>
      </c>
      <c r="N349" s="5">
        <v>0.30769230769230771</v>
      </c>
    </row>
    <row r="350" spans="1:14" x14ac:dyDescent="0.3">
      <c r="A350" t="s">
        <v>521</v>
      </c>
      <c r="B350" s="2">
        <v>45808</v>
      </c>
      <c r="C350" t="s">
        <v>151</v>
      </c>
      <c r="D350" t="s">
        <v>16</v>
      </c>
      <c r="E350" t="s">
        <v>36</v>
      </c>
      <c r="F350" t="s">
        <v>18</v>
      </c>
      <c r="G350" t="s">
        <v>60</v>
      </c>
      <c r="H350">
        <v>17</v>
      </c>
      <c r="I350" s="3">
        <v>1800</v>
      </c>
      <c r="J350" s="3">
        <v>2800</v>
      </c>
      <c r="K350" s="3">
        <v>47600</v>
      </c>
      <c r="L350" s="3">
        <v>30600</v>
      </c>
      <c r="M350" s="3">
        <v>17000</v>
      </c>
      <c r="N350" s="5">
        <v>0.35714285714285721</v>
      </c>
    </row>
    <row r="351" spans="1:14" x14ac:dyDescent="0.3">
      <c r="A351" t="s">
        <v>522</v>
      </c>
      <c r="B351" s="2">
        <v>45867</v>
      </c>
      <c r="C351" t="s">
        <v>396</v>
      </c>
      <c r="D351" t="s">
        <v>35</v>
      </c>
      <c r="E351" t="s">
        <v>36</v>
      </c>
      <c r="F351" t="s">
        <v>41</v>
      </c>
      <c r="G351" t="s">
        <v>42</v>
      </c>
      <c r="H351">
        <v>11</v>
      </c>
      <c r="I351" s="3">
        <v>8500</v>
      </c>
      <c r="J351" s="3">
        <v>12000</v>
      </c>
      <c r="K351" s="3">
        <v>132000</v>
      </c>
      <c r="L351" s="3">
        <v>93500</v>
      </c>
      <c r="M351" s="3">
        <v>38500</v>
      </c>
      <c r="N351" s="5">
        <v>0.29166666666666669</v>
      </c>
    </row>
    <row r="352" spans="1:14" x14ac:dyDescent="0.3">
      <c r="A352" t="s">
        <v>523</v>
      </c>
      <c r="B352" s="2">
        <v>45937</v>
      </c>
      <c r="C352" t="s">
        <v>91</v>
      </c>
      <c r="D352" t="s">
        <v>16</v>
      </c>
      <c r="E352" t="s">
        <v>32</v>
      </c>
      <c r="F352" t="s">
        <v>18</v>
      </c>
      <c r="G352" t="s">
        <v>37</v>
      </c>
      <c r="H352">
        <v>19</v>
      </c>
      <c r="I352" s="3">
        <v>400</v>
      </c>
      <c r="J352" s="3">
        <v>650</v>
      </c>
      <c r="K352" s="3">
        <v>12350</v>
      </c>
      <c r="L352" s="3">
        <v>7600</v>
      </c>
      <c r="M352" s="3">
        <v>4750</v>
      </c>
      <c r="N352" s="5">
        <v>0.38461538461538458</v>
      </c>
    </row>
    <row r="353" spans="1:14" x14ac:dyDescent="0.3">
      <c r="A353" t="s">
        <v>524</v>
      </c>
      <c r="B353" s="2">
        <v>45820</v>
      </c>
      <c r="C353" t="s">
        <v>525</v>
      </c>
      <c r="D353" t="s">
        <v>16</v>
      </c>
      <c r="E353" t="s">
        <v>32</v>
      </c>
      <c r="F353" t="s">
        <v>18</v>
      </c>
      <c r="G353" t="s">
        <v>76</v>
      </c>
      <c r="H353">
        <v>20</v>
      </c>
      <c r="I353" s="3">
        <v>2500</v>
      </c>
      <c r="J353" s="3">
        <v>3600</v>
      </c>
      <c r="K353" s="3">
        <v>72000</v>
      </c>
      <c r="L353" s="3">
        <v>50000</v>
      </c>
      <c r="M353" s="3">
        <v>22000</v>
      </c>
      <c r="N353" s="5">
        <v>0.30555555555555558</v>
      </c>
    </row>
    <row r="354" spans="1:14" x14ac:dyDescent="0.3">
      <c r="A354" t="s">
        <v>526</v>
      </c>
      <c r="B354" s="2">
        <v>45989</v>
      </c>
      <c r="C354" t="s">
        <v>31</v>
      </c>
      <c r="D354" t="s">
        <v>16</v>
      </c>
      <c r="E354" t="s">
        <v>32</v>
      </c>
      <c r="F354" t="s">
        <v>18</v>
      </c>
      <c r="G354" t="s">
        <v>76</v>
      </c>
      <c r="H354">
        <v>4</v>
      </c>
      <c r="I354" s="3">
        <v>2500</v>
      </c>
      <c r="J354" s="3">
        <v>3600</v>
      </c>
      <c r="K354" s="3">
        <v>14400</v>
      </c>
      <c r="L354" s="3">
        <v>10000</v>
      </c>
      <c r="M354" s="3">
        <v>4400</v>
      </c>
      <c r="N354" s="5">
        <v>0.30555555555555558</v>
      </c>
    </row>
    <row r="355" spans="1:14" x14ac:dyDescent="0.3">
      <c r="A355" t="s">
        <v>527</v>
      </c>
      <c r="B355" s="2">
        <v>45764</v>
      </c>
      <c r="C355" t="s">
        <v>528</v>
      </c>
      <c r="D355" t="s">
        <v>16</v>
      </c>
      <c r="E355" t="s">
        <v>23</v>
      </c>
      <c r="F355" t="s">
        <v>47</v>
      </c>
      <c r="G355" t="s">
        <v>48</v>
      </c>
      <c r="H355">
        <v>6</v>
      </c>
      <c r="I355" s="3">
        <v>2800</v>
      </c>
      <c r="J355" s="3">
        <v>4200</v>
      </c>
      <c r="K355" s="3">
        <v>25200</v>
      </c>
      <c r="L355" s="3">
        <v>16800</v>
      </c>
      <c r="M355" s="3">
        <v>8400</v>
      </c>
      <c r="N355" s="5">
        <v>0.33333333333333331</v>
      </c>
    </row>
    <row r="356" spans="1:14" x14ac:dyDescent="0.3">
      <c r="A356" t="s">
        <v>529</v>
      </c>
      <c r="B356" s="2">
        <v>45777</v>
      </c>
      <c r="C356" t="s">
        <v>530</v>
      </c>
      <c r="D356" t="s">
        <v>46</v>
      </c>
      <c r="E356" t="s">
        <v>36</v>
      </c>
      <c r="F356" t="s">
        <v>18</v>
      </c>
      <c r="G356" t="s">
        <v>19</v>
      </c>
      <c r="H356">
        <v>10</v>
      </c>
      <c r="I356" s="3">
        <v>1800</v>
      </c>
      <c r="J356" s="3">
        <v>2600</v>
      </c>
      <c r="K356" s="3">
        <v>26000</v>
      </c>
      <c r="L356" s="3">
        <v>18000</v>
      </c>
      <c r="M356" s="3">
        <v>8000</v>
      </c>
      <c r="N356" s="5">
        <v>0.30769230769230771</v>
      </c>
    </row>
    <row r="357" spans="1:14" x14ac:dyDescent="0.3">
      <c r="A357" t="s">
        <v>531</v>
      </c>
      <c r="B357" s="2">
        <v>45910</v>
      </c>
      <c r="C357" t="s">
        <v>235</v>
      </c>
      <c r="D357" t="s">
        <v>46</v>
      </c>
      <c r="E357" t="s">
        <v>23</v>
      </c>
      <c r="F357" t="s">
        <v>18</v>
      </c>
      <c r="G357" t="s">
        <v>37</v>
      </c>
      <c r="H357">
        <v>12</v>
      </c>
      <c r="I357" s="3">
        <v>400</v>
      </c>
      <c r="J357" s="3">
        <v>650</v>
      </c>
      <c r="K357" s="3">
        <v>7800</v>
      </c>
      <c r="L357" s="3">
        <v>4800</v>
      </c>
      <c r="M357" s="3">
        <v>3000</v>
      </c>
      <c r="N357" s="5">
        <v>0.38461538461538458</v>
      </c>
    </row>
    <row r="358" spans="1:14" x14ac:dyDescent="0.3">
      <c r="A358" t="s">
        <v>532</v>
      </c>
      <c r="B358" s="2">
        <v>45671</v>
      </c>
      <c r="C358" t="s">
        <v>149</v>
      </c>
      <c r="D358" t="s">
        <v>46</v>
      </c>
      <c r="E358" t="s">
        <v>55</v>
      </c>
      <c r="F358" t="s">
        <v>18</v>
      </c>
      <c r="G358" t="s">
        <v>37</v>
      </c>
      <c r="H358">
        <v>18</v>
      </c>
      <c r="I358" s="3">
        <v>400</v>
      </c>
      <c r="J358" s="3">
        <v>650</v>
      </c>
      <c r="K358" s="3">
        <v>11700</v>
      </c>
      <c r="L358" s="3">
        <v>7200</v>
      </c>
      <c r="M358" s="3">
        <v>4500</v>
      </c>
      <c r="N358" s="5">
        <v>0.38461538461538458</v>
      </c>
    </row>
    <row r="359" spans="1:14" x14ac:dyDescent="0.3">
      <c r="A359" t="s">
        <v>533</v>
      </c>
      <c r="B359" s="2">
        <v>45725</v>
      </c>
      <c r="C359" t="s">
        <v>270</v>
      </c>
      <c r="D359" t="s">
        <v>16</v>
      </c>
      <c r="E359" t="s">
        <v>17</v>
      </c>
      <c r="F359" t="s">
        <v>18</v>
      </c>
      <c r="G359" t="s">
        <v>19</v>
      </c>
      <c r="H359">
        <v>17</v>
      </c>
      <c r="I359" s="3">
        <v>1800</v>
      </c>
      <c r="J359" s="3">
        <v>2600</v>
      </c>
      <c r="K359" s="3">
        <v>44200</v>
      </c>
      <c r="L359" s="3">
        <v>30600</v>
      </c>
      <c r="M359" s="3">
        <v>13600</v>
      </c>
      <c r="N359" s="5">
        <v>0.30769230769230771</v>
      </c>
    </row>
    <row r="360" spans="1:14" x14ac:dyDescent="0.3">
      <c r="A360" t="s">
        <v>534</v>
      </c>
      <c r="B360" s="2">
        <v>45993</v>
      </c>
      <c r="C360" t="s">
        <v>87</v>
      </c>
      <c r="D360" t="s">
        <v>16</v>
      </c>
      <c r="E360" t="s">
        <v>32</v>
      </c>
      <c r="F360" t="s">
        <v>18</v>
      </c>
      <c r="G360" t="s">
        <v>60</v>
      </c>
      <c r="H360">
        <v>12</v>
      </c>
      <c r="I360" s="3">
        <v>1800</v>
      </c>
      <c r="J360" s="3">
        <v>2800</v>
      </c>
      <c r="K360" s="3">
        <v>33600</v>
      </c>
      <c r="L360" s="3">
        <v>21600</v>
      </c>
      <c r="M360" s="3">
        <v>12000</v>
      </c>
      <c r="N360" s="5">
        <v>0.35714285714285721</v>
      </c>
    </row>
    <row r="361" spans="1:14" x14ac:dyDescent="0.3">
      <c r="A361" t="s">
        <v>535</v>
      </c>
      <c r="B361" s="2">
        <v>45888</v>
      </c>
      <c r="C361" t="s">
        <v>172</v>
      </c>
      <c r="D361" t="s">
        <v>22</v>
      </c>
      <c r="E361" t="s">
        <v>36</v>
      </c>
      <c r="F361" t="s">
        <v>18</v>
      </c>
      <c r="G361" t="s">
        <v>72</v>
      </c>
      <c r="H361">
        <v>7</v>
      </c>
      <c r="I361" s="3">
        <v>900</v>
      </c>
      <c r="J361" s="3">
        <v>1500</v>
      </c>
      <c r="K361" s="3">
        <v>10500</v>
      </c>
      <c r="L361" s="3">
        <v>6300</v>
      </c>
      <c r="M361" s="3">
        <v>4200</v>
      </c>
      <c r="N361" s="5">
        <v>0.4</v>
      </c>
    </row>
    <row r="362" spans="1:14" x14ac:dyDescent="0.3">
      <c r="A362" t="s">
        <v>536</v>
      </c>
      <c r="B362" s="2">
        <v>45816</v>
      </c>
      <c r="C362" t="s">
        <v>498</v>
      </c>
      <c r="D362" t="s">
        <v>16</v>
      </c>
      <c r="E362" t="s">
        <v>55</v>
      </c>
      <c r="F362" t="s">
        <v>24</v>
      </c>
      <c r="G362" t="s">
        <v>63</v>
      </c>
      <c r="H362">
        <v>20</v>
      </c>
      <c r="I362" s="3">
        <v>42000</v>
      </c>
      <c r="J362" s="3">
        <v>55000</v>
      </c>
      <c r="K362" s="3">
        <v>1100000</v>
      </c>
      <c r="L362" s="3">
        <v>840000</v>
      </c>
      <c r="M362" s="3">
        <v>260000</v>
      </c>
      <c r="N362" s="5">
        <v>0.23636363636363639</v>
      </c>
    </row>
    <row r="363" spans="1:14" x14ac:dyDescent="0.3">
      <c r="A363" t="s">
        <v>537</v>
      </c>
      <c r="B363" s="2">
        <v>45882</v>
      </c>
      <c r="C363" t="s">
        <v>538</v>
      </c>
      <c r="D363" t="s">
        <v>22</v>
      </c>
      <c r="E363" t="s">
        <v>28</v>
      </c>
      <c r="F363" t="s">
        <v>24</v>
      </c>
      <c r="G363" t="s">
        <v>29</v>
      </c>
      <c r="H363">
        <v>12</v>
      </c>
      <c r="I363" s="3">
        <v>12000</v>
      </c>
      <c r="J363" s="3">
        <v>16500</v>
      </c>
      <c r="K363" s="3">
        <v>198000</v>
      </c>
      <c r="L363" s="3">
        <v>144000</v>
      </c>
      <c r="M363" s="3">
        <v>54000</v>
      </c>
      <c r="N363" s="5">
        <v>0.27272727272727271</v>
      </c>
    </row>
    <row r="364" spans="1:14" x14ac:dyDescent="0.3">
      <c r="A364" t="s">
        <v>539</v>
      </c>
      <c r="B364" s="2">
        <v>45765</v>
      </c>
      <c r="C364" t="s">
        <v>493</v>
      </c>
      <c r="D364" t="s">
        <v>22</v>
      </c>
      <c r="E364" t="s">
        <v>32</v>
      </c>
      <c r="F364" t="s">
        <v>18</v>
      </c>
      <c r="G364" t="s">
        <v>37</v>
      </c>
      <c r="H364">
        <v>6</v>
      </c>
      <c r="I364" s="3">
        <v>400</v>
      </c>
      <c r="J364" s="3">
        <v>650</v>
      </c>
      <c r="K364" s="3">
        <v>3900</v>
      </c>
      <c r="L364" s="3">
        <v>2400</v>
      </c>
      <c r="M364" s="3">
        <v>1500</v>
      </c>
      <c r="N364" s="5">
        <v>0.38461538461538458</v>
      </c>
    </row>
    <row r="365" spans="1:14" x14ac:dyDescent="0.3">
      <c r="A365" t="s">
        <v>540</v>
      </c>
      <c r="B365" s="2">
        <v>45903</v>
      </c>
      <c r="C365" t="s">
        <v>289</v>
      </c>
      <c r="D365" t="s">
        <v>40</v>
      </c>
      <c r="E365" t="s">
        <v>36</v>
      </c>
      <c r="F365" t="s">
        <v>41</v>
      </c>
      <c r="G365" t="s">
        <v>42</v>
      </c>
      <c r="H365">
        <v>14</v>
      </c>
      <c r="I365" s="3">
        <v>8500</v>
      </c>
      <c r="J365" s="3">
        <v>12000</v>
      </c>
      <c r="K365" s="3">
        <v>168000</v>
      </c>
      <c r="L365" s="3">
        <v>119000</v>
      </c>
      <c r="M365" s="3">
        <v>49000</v>
      </c>
      <c r="N365" s="5">
        <v>0.29166666666666669</v>
      </c>
    </row>
    <row r="366" spans="1:14" x14ac:dyDescent="0.3">
      <c r="A366" t="s">
        <v>541</v>
      </c>
      <c r="B366" s="2">
        <v>45860</v>
      </c>
      <c r="C366" t="s">
        <v>69</v>
      </c>
      <c r="D366" t="s">
        <v>35</v>
      </c>
      <c r="E366" t="s">
        <v>55</v>
      </c>
      <c r="F366" t="s">
        <v>24</v>
      </c>
      <c r="G366" t="s">
        <v>29</v>
      </c>
      <c r="H366">
        <v>1</v>
      </c>
      <c r="I366" s="3">
        <v>12000</v>
      </c>
      <c r="J366" s="3">
        <v>16500</v>
      </c>
      <c r="K366" s="3">
        <v>16500</v>
      </c>
      <c r="L366" s="3">
        <v>12000</v>
      </c>
      <c r="M366" s="3">
        <v>4500</v>
      </c>
      <c r="N366" s="5">
        <v>0.27272727272727271</v>
      </c>
    </row>
    <row r="367" spans="1:14" x14ac:dyDescent="0.3">
      <c r="A367" t="s">
        <v>542</v>
      </c>
      <c r="B367" s="2">
        <v>45897</v>
      </c>
      <c r="C367" t="s">
        <v>149</v>
      </c>
      <c r="D367" t="s">
        <v>35</v>
      </c>
      <c r="E367" t="s">
        <v>28</v>
      </c>
      <c r="F367" t="s">
        <v>18</v>
      </c>
      <c r="G367" t="s">
        <v>76</v>
      </c>
      <c r="H367">
        <v>14</v>
      </c>
      <c r="I367" s="3">
        <v>2500</v>
      </c>
      <c r="J367" s="3">
        <v>3600</v>
      </c>
      <c r="K367" s="3">
        <v>50400</v>
      </c>
      <c r="L367" s="3">
        <v>35000</v>
      </c>
      <c r="M367" s="3">
        <v>15400</v>
      </c>
      <c r="N367" s="5">
        <v>0.30555555555555558</v>
      </c>
    </row>
    <row r="368" spans="1:14" x14ac:dyDescent="0.3">
      <c r="A368" t="s">
        <v>543</v>
      </c>
      <c r="B368" s="2">
        <v>45928</v>
      </c>
      <c r="C368" t="s">
        <v>99</v>
      </c>
      <c r="D368" t="s">
        <v>16</v>
      </c>
      <c r="E368" t="s">
        <v>23</v>
      </c>
      <c r="F368" t="s">
        <v>41</v>
      </c>
      <c r="G368" t="s">
        <v>42</v>
      </c>
      <c r="H368">
        <v>2</v>
      </c>
      <c r="I368" s="3">
        <v>8500</v>
      </c>
      <c r="J368" s="3">
        <v>12000</v>
      </c>
      <c r="K368" s="3">
        <v>24000</v>
      </c>
      <c r="L368" s="3">
        <v>17000</v>
      </c>
      <c r="M368" s="3">
        <v>7000</v>
      </c>
      <c r="N368" s="5">
        <v>0.29166666666666669</v>
      </c>
    </row>
    <row r="369" spans="1:14" x14ac:dyDescent="0.3">
      <c r="A369" t="s">
        <v>544</v>
      </c>
      <c r="B369" s="2">
        <v>46010</v>
      </c>
      <c r="C369" t="s">
        <v>545</v>
      </c>
      <c r="D369" t="s">
        <v>16</v>
      </c>
      <c r="E369" t="s">
        <v>55</v>
      </c>
      <c r="F369" t="s">
        <v>24</v>
      </c>
      <c r="G369" t="s">
        <v>63</v>
      </c>
      <c r="H369">
        <v>2</v>
      </c>
      <c r="I369" s="3">
        <v>42000</v>
      </c>
      <c r="J369" s="3">
        <v>55000</v>
      </c>
      <c r="K369" s="3">
        <v>110000</v>
      </c>
      <c r="L369" s="3">
        <v>84000</v>
      </c>
      <c r="M369" s="3">
        <v>26000</v>
      </c>
      <c r="N369" s="5">
        <v>0.23636363636363639</v>
      </c>
    </row>
    <row r="370" spans="1:14" x14ac:dyDescent="0.3">
      <c r="A370" t="s">
        <v>546</v>
      </c>
      <c r="B370" s="2">
        <v>45979</v>
      </c>
      <c r="C370" t="s">
        <v>319</v>
      </c>
      <c r="D370" t="s">
        <v>22</v>
      </c>
      <c r="E370" t="s">
        <v>32</v>
      </c>
      <c r="F370" t="s">
        <v>47</v>
      </c>
      <c r="G370" t="s">
        <v>48</v>
      </c>
      <c r="H370">
        <v>10</v>
      </c>
      <c r="I370" s="3">
        <v>2800</v>
      </c>
      <c r="J370" s="3">
        <v>4200</v>
      </c>
      <c r="K370" s="3">
        <v>42000</v>
      </c>
      <c r="L370" s="3">
        <v>28000</v>
      </c>
      <c r="M370" s="3">
        <v>14000</v>
      </c>
      <c r="N370" s="5">
        <v>0.33333333333333331</v>
      </c>
    </row>
    <row r="371" spans="1:14" x14ac:dyDescent="0.3">
      <c r="A371" t="s">
        <v>547</v>
      </c>
      <c r="B371" s="2">
        <v>45660</v>
      </c>
      <c r="C371" t="s">
        <v>221</v>
      </c>
      <c r="D371" t="s">
        <v>46</v>
      </c>
      <c r="E371" t="s">
        <v>23</v>
      </c>
      <c r="F371" t="s">
        <v>47</v>
      </c>
      <c r="G371" t="s">
        <v>48</v>
      </c>
      <c r="H371">
        <v>2</v>
      </c>
      <c r="I371" s="3">
        <v>2800</v>
      </c>
      <c r="J371" s="3">
        <v>4200</v>
      </c>
      <c r="K371" s="3">
        <v>8400</v>
      </c>
      <c r="L371" s="3">
        <v>5600</v>
      </c>
      <c r="M371" s="3">
        <v>2800</v>
      </c>
      <c r="N371" s="5">
        <v>0.33333333333333331</v>
      </c>
    </row>
    <row r="372" spans="1:14" x14ac:dyDescent="0.3">
      <c r="A372" t="s">
        <v>548</v>
      </c>
      <c r="B372" s="2">
        <v>45994</v>
      </c>
      <c r="C372" t="s">
        <v>307</v>
      </c>
      <c r="D372" t="s">
        <v>35</v>
      </c>
      <c r="E372" t="s">
        <v>28</v>
      </c>
      <c r="F372" t="s">
        <v>18</v>
      </c>
      <c r="G372" t="s">
        <v>60</v>
      </c>
      <c r="H372">
        <v>14</v>
      </c>
      <c r="I372" s="3">
        <v>1800</v>
      </c>
      <c r="J372" s="3">
        <v>2800</v>
      </c>
      <c r="K372" s="3">
        <v>39200</v>
      </c>
      <c r="L372" s="3">
        <v>25200</v>
      </c>
      <c r="M372" s="3">
        <v>14000</v>
      </c>
      <c r="N372" s="5">
        <v>0.35714285714285721</v>
      </c>
    </row>
    <row r="373" spans="1:14" x14ac:dyDescent="0.3">
      <c r="A373" t="s">
        <v>549</v>
      </c>
      <c r="B373" s="2">
        <v>45762</v>
      </c>
      <c r="C373" t="s">
        <v>161</v>
      </c>
      <c r="D373" t="s">
        <v>40</v>
      </c>
      <c r="E373" t="s">
        <v>55</v>
      </c>
      <c r="F373" t="s">
        <v>47</v>
      </c>
      <c r="G373" t="s">
        <v>48</v>
      </c>
      <c r="H373">
        <v>16</v>
      </c>
      <c r="I373" s="3">
        <v>2800</v>
      </c>
      <c r="J373" s="3">
        <v>4200</v>
      </c>
      <c r="K373" s="3">
        <v>67200</v>
      </c>
      <c r="L373" s="3">
        <v>44800</v>
      </c>
      <c r="M373" s="3">
        <v>22400</v>
      </c>
      <c r="N373" s="5">
        <v>0.33333333333333331</v>
      </c>
    </row>
    <row r="374" spans="1:14" x14ac:dyDescent="0.3">
      <c r="A374" t="s">
        <v>550</v>
      </c>
      <c r="B374" s="2">
        <v>45715</v>
      </c>
      <c r="C374" t="s">
        <v>140</v>
      </c>
      <c r="D374" t="s">
        <v>40</v>
      </c>
      <c r="E374" t="s">
        <v>55</v>
      </c>
      <c r="F374" t="s">
        <v>47</v>
      </c>
      <c r="G374" t="s">
        <v>48</v>
      </c>
      <c r="H374">
        <v>8</v>
      </c>
      <c r="I374" s="3">
        <v>2800</v>
      </c>
      <c r="J374" s="3">
        <v>4200</v>
      </c>
      <c r="K374" s="3">
        <v>33600</v>
      </c>
      <c r="L374" s="3">
        <v>22400</v>
      </c>
      <c r="M374" s="3">
        <v>11200</v>
      </c>
      <c r="N374" s="5">
        <v>0.33333333333333331</v>
      </c>
    </row>
    <row r="375" spans="1:14" x14ac:dyDescent="0.3">
      <c r="A375" t="s">
        <v>551</v>
      </c>
      <c r="B375" s="2">
        <v>45866</v>
      </c>
      <c r="C375" t="s">
        <v>552</v>
      </c>
      <c r="D375" t="s">
        <v>40</v>
      </c>
      <c r="E375" t="s">
        <v>23</v>
      </c>
      <c r="F375" t="s">
        <v>18</v>
      </c>
      <c r="G375" t="s">
        <v>72</v>
      </c>
      <c r="H375">
        <v>14</v>
      </c>
      <c r="I375" s="3">
        <v>900</v>
      </c>
      <c r="J375" s="3">
        <v>1500</v>
      </c>
      <c r="K375" s="3">
        <v>21000</v>
      </c>
      <c r="L375" s="3">
        <v>12600</v>
      </c>
      <c r="M375" s="3">
        <v>8400</v>
      </c>
      <c r="N375" s="5">
        <v>0.4</v>
      </c>
    </row>
    <row r="376" spans="1:14" x14ac:dyDescent="0.3">
      <c r="A376" t="s">
        <v>553</v>
      </c>
      <c r="B376" s="2">
        <v>45955</v>
      </c>
      <c r="C376" t="s">
        <v>259</v>
      </c>
      <c r="D376" t="s">
        <v>40</v>
      </c>
      <c r="E376" t="s">
        <v>36</v>
      </c>
      <c r="F376" t="s">
        <v>24</v>
      </c>
      <c r="G376" t="s">
        <v>29</v>
      </c>
      <c r="H376">
        <v>7</v>
      </c>
      <c r="I376" s="3">
        <v>12000</v>
      </c>
      <c r="J376" s="3">
        <v>16500</v>
      </c>
      <c r="K376" s="3">
        <v>115500</v>
      </c>
      <c r="L376" s="3">
        <v>84000</v>
      </c>
      <c r="M376" s="3">
        <v>31500</v>
      </c>
      <c r="N376" s="5">
        <v>0.27272727272727271</v>
      </c>
    </row>
    <row r="377" spans="1:14" x14ac:dyDescent="0.3">
      <c r="A377" t="s">
        <v>554</v>
      </c>
      <c r="B377" s="2">
        <v>45748</v>
      </c>
      <c r="C377" t="s">
        <v>210</v>
      </c>
      <c r="D377" t="s">
        <v>40</v>
      </c>
      <c r="E377" t="s">
        <v>17</v>
      </c>
      <c r="F377" t="s">
        <v>47</v>
      </c>
      <c r="G377" t="s">
        <v>48</v>
      </c>
      <c r="H377">
        <v>11</v>
      </c>
      <c r="I377" s="3">
        <v>2800</v>
      </c>
      <c r="J377" s="3">
        <v>4200</v>
      </c>
      <c r="K377" s="3">
        <v>46200</v>
      </c>
      <c r="L377" s="3">
        <v>30800</v>
      </c>
      <c r="M377" s="3">
        <v>15400</v>
      </c>
      <c r="N377" s="5">
        <v>0.33333333333333331</v>
      </c>
    </row>
    <row r="378" spans="1:14" x14ac:dyDescent="0.3">
      <c r="A378" t="s">
        <v>555</v>
      </c>
      <c r="B378" s="2">
        <v>45714</v>
      </c>
      <c r="C378" t="s">
        <v>276</v>
      </c>
      <c r="D378" t="s">
        <v>16</v>
      </c>
      <c r="E378" t="s">
        <v>36</v>
      </c>
      <c r="F378" t="s">
        <v>18</v>
      </c>
      <c r="G378" t="s">
        <v>60</v>
      </c>
      <c r="H378">
        <v>6</v>
      </c>
      <c r="I378" s="3">
        <v>1800</v>
      </c>
      <c r="J378" s="3">
        <v>2800</v>
      </c>
      <c r="K378" s="3">
        <v>16800</v>
      </c>
      <c r="L378" s="3">
        <v>10800</v>
      </c>
      <c r="M378" s="3">
        <v>6000</v>
      </c>
      <c r="N378" s="5">
        <v>0.35714285714285721</v>
      </c>
    </row>
    <row r="379" spans="1:14" x14ac:dyDescent="0.3">
      <c r="A379" t="s">
        <v>556</v>
      </c>
      <c r="B379" s="2">
        <v>45723</v>
      </c>
      <c r="C379" t="s">
        <v>218</v>
      </c>
      <c r="D379" t="s">
        <v>16</v>
      </c>
      <c r="E379" t="s">
        <v>17</v>
      </c>
      <c r="F379" t="s">
        <v>18</v>
      </c>
      <c r="G379" t="s">
        <v>76</v>
      </c>
      <c r="H379">
        <v>16</v>
      </c>
      <c r="I379" s="3">
        <v>2500</v>
      </c>
      <c r="J379" s="3">
        <v>3600</v>
      </c>
      <c r="K379" s="3">
        <v>57600</v>
      </c>
      <c r="L379" s="3">
        <v>40000</v>
      </c>
      <c r="M379" s="3">
        <v>17600</v>
      </c>
      <c r="N379" s="5">
        <v>0.30555555555555558</v>
      </c>
    </row>
    <row r="380" spans="1:14" x14ac:dyDescent="0.3">
      <c r="A380" t="s">
        <v>557</v>
      </c>
      <c r="B380" s="2">
        <v>46011</v>
      </c>
      <c r="C380" t="s">
        <v>21</v>
      </c>
      <c r="D380" t="s">
        <v>16</v>
      </c>
      <c r="E380" t="s">
        <v>36</v>
      </c>
      <c r="F380" t="s">
        <v>18</v>
      </c>
      <c r="G380" t="s">
        <v>37</v>
      </c>
      <c r="H380">
        <v>15</v>
      </c>
      <c r="I380" s="3">
        <v>400</v>
      </c>
      <c r="J380" s="3">
        <v>650</v>
      </c>
      <c r="K380" s="3">
        <v>9750</v>
      </c>
      <c r="L380" s="3">
        <v>6000</v>
      </c>
      <c r="M380" s="3">
        <v>3750</v>
      </c>
      <c r="N380" s="5">
        <v>0.38461538461538458</v>
      </c>
    </row>
    <row r="381" spans="1:14" x14ac:dyDescent="0.3">
      <c r="A381" t="s">
        <v>558</v>
      </c>
      <c r="B381" s="2">
        <v>45997</v>
      </c>
      <c r="C381" t="s">
        <v>307</v>
      </c>
      <c r="D381" t="s">
        <v>40</v>
      </c>
      <c r="E381" t="s">
        <v>28</v>
      </c>
      <c r="F381" t="s">
        <v>18</v>
      </c>
      <c r="G381" t="s">
        <v>19</v>
      </c>
      <c r="H381">
        <v>9</v>
      </c>
      <c r="I381" s="3">
        <v>1800</v>
      </c>
      <c r="J381" s="3">
        <v>2600</v>
      </c>
      <c r="K381" s="3">
        <v>23400</v>
      </c>
      <c r="L381" s="3">
        <v>16200</v>
      </c>
      <c r="M381" s="3">
        <v>7200</v>
      </c>
      <c r="N381" s="5">
        <v>0.30769230769230771</v>
      </c>
    </row>
    <row r="382" spans="1:14" x14ac:dyDescent="0.3">
      <c r="A382" t="s">
        <v>559</v>
      </c>
      <c r="B382" s="2">
        <v>45671</v>
      </c>
      <c r="C382" t="s">
        <v>136</v>
      </c>
      <c r="D382" t="s">
        <v>40</v>
      </c>
      <c r="E382" t="s">
        <v>23</v>
      </c>
      <c r="F382" t="s">
        <v>18</v>
      </c>
      <c r="G382" t="s">
        <v>76</v>
      </c>
      <c r="H382">
        <v>5</v>
      </c>
      <c r="I382" s="3">
        <v>2500</v>
      </c>
      <c r="J382" s="3">
        <v>3600</v>
      </c>
      <c r="K382" s="3">
        <v>18000</v>
      </c>
      <c r="L382" s="3">
        <v>12500</v>
      </c>
      <c r="M382" s="3">
        <v>5500</v>
      </c>
      <c r="N382" s="5">
        <v>0.30555555555555558</v>
      </c>
    </row>
    <row r="383" spans="1:14" x14ac:dyDescent="0.3">
      <c r="A383" t="s">
        <v>560</v>
      </c>
      <c r="B383" s="2">
        <v>45725</v>
      </c>
      <c r="C383" t="s">
        <v>69</v>
      </c>
      <c r="D383" t="s">
        <v>46</v>
      </c>
      <c r="E383" t="s">
        <v>55</v>
      </c>
      <c r="F383" t="s">
        <v>18</v>
      </c>
      <c r="G383" t="s">
        <v>76</v>
      </c>
      <c r="H383">
        <v>14</v>
      </c>
      <c r="I383" s="3">
        <v>2500</v>
      </c>
      <c r="J383" s="3">
        <v>3600</v>
      </c>
      <c r="K383" s="3">
        <v>50400</v>
      </c>
      <c r="L383" s="3">
        <v>35000</v>
      </c>
      <c r="M383" s="3">
        <v>15400</v>
      </c>
      <c r="N383" s="5">
        <v>0.30555555555555558</v>
      </c>
    </row>
    <row r="384" spans="1:14" x14ac:dyDescent="0.3">
      <c r="A384" t="s">
        <v>561</v>
      </c>
      <c r="B384" s="2">
        <v>45896</v>
      </c>
      <c r="C384" t="s">
        <v>175</v>
      </c>
      <c r="D384" t="s">
        <v>46</v>
      </c>
      <c r="E384" t="s">
        <v>32</v>
      </c>
      <c r="F384" t="s">
        <v>24</v>
      </c>
      <c r="G384" t="s">
        <v>63</v>
      </c>
      <c r="H384">
        <v>10</v>
      </c>
      <c r="I384" s="3">
        <v>42000</v>
      </c>
      <c r="J384" s="3">
        <v>55000</v>
      </c>
      <c r="K384" s="3">
        <v>550000</v>
      </c>
      <c r="L384" s="3">
        <v>420000</v>
      </c>
      <c r="M384" s="3">
        <v>130000</v>
      </c>
      <c r="N384" s="5">
        <v>0.23636363636363639</v>
      </c>
    </row>
    <row r="385" spans="1:14" x14ac:dyDescent="0.3">
      <c r="A385" t="s">
        <v>562</v>
      </c>
      <c r="B385" s="2">
        <v>45998</v>
      </c>
      <c r="C385" t="s">
        <v>563</v>
      </c>
      <c r="D385" t="s">
        <v>46</v>
      </c>
      <c r="E385" t="s">
        <v>17</v>
      </c>
      <c r="F385" t="s">
        <v>24</v>
      </c>
      <c r="G385" t="s">
        <v>25</v>
      </c>
      <c r="H385">
        <v>6</v>
      </c>
      <c r="I385" s="3">
        <v>15000</v>
      </c>
      <c r="J385" s="3">
        <v>19500</v>
      </c>
      <c r="K385" s="3">
        <v>117000</v>
      </c>
      <c r="L385" s="3">
        <v>90000</v>
      </c>
      <c r="M385" s="3">
        <v>27000</v>
      </c>
      <c r="N385" s="5">
        <v>0.23076923076923081</v>
      </c>
    </row>
    <row r="386" spans="1:14" x14ac:dyDescent="0.3">
      <c r="A386" t="s">
        <v>564</v>
      </c>
      <c r="B386" s="2">
        <v>45734</v>
      </c>
      <c r="C386" t="s">
        <v>116</v>
      </c>
      <c r="D386" t="s">
        <v>40</v>
      </c>
      <c r="E386" t="s">
        <v>36</v>
      </c>
      <c r="F386" t="s">
        <v>18</v>
      </c>
      <c r="G386" t="s">
        <v>37</v>
      </c>
      <c r="H386">
        <v>20</v>
      </c>
      <c r="I386" s="3">
        <v>400</v>
      </c>
      <c r="J386" s="3">
        <v>650</v>
      </c>
      <c r="K386" s="3">
        <v>13000</v>
      </c>
      <c r="L386" s="3">
        <v>8000</v>
      </c>
      <c r="M386" s="3">
        <v>5000</v>
      </c>
      <c r="N386" s="5">
        <v>0.38461538461538458</v>
      </c>
    </row>
    <row r="387" spans="1:14" x14ac:dyDescent="0.3">
      <c r="A387" t="s">
        <v>565</v>
      </c>
      <c r="B387" s="2">
        <v>45875</v>
      </c>
      <c r="C387" t="s">
        <v>493</v>
      </c>
      <c r="D387" t="s">
        <v>16</v>
      </c>
      <c r="E387" t="s">
        <v>36</v>
      </c>
      <c r="F387" t="s">
        <v>18</v>
      </c>
      <c r="G387" t="s">
        <v>37</v>
      </c>
      <c r="H387">
        <v>15</v>
      </c>
      <c r="I387" s="3">
        <v>400</v>
      </c>
      <c r="J387" s="3">
        <v>650</v>
      </c>
      <c r="K387" s="3">
        <v>9750</v>
      </c>
      <c r="L387" s="3">
        <v>6000</v>
      </c>
      <c r="M387" s="3">
        <v>3750</v>
      </c>
      <c r="N387" s="5">
        <v>0.38461538461538458</v>
      </c>
    </row>
    <row r="388" spans="1:14" x14ac:dyDescent="0.3">
      <c r="A388" t="s">
        <v>566</v>
      </c>
      <c r="B388" s="2">
        <v>45846</v>
      </c>
      <c r="C388" t="s">
        <v>154</v>
      </c>
      <c r="D388" t="s">
        <v>35</v>
      </c>
      <c r="E388" t="s">
        <v>23</v>
      </c>
      <c r="F388" t="s">
        <v>18</v>
      </c>
      <c r="G388" t="s">
        <v>37</v>
      </c>
      <c r="H388">
        <v>7</v>
      </c>
      <c r="I388" s="3">
        <v>400</v>
      </c>
      <c r="J388" s="3">
        <v>650</v>
      </c>
      <c r="K388" s="3">
        <v>4550</v>
      </c>
      <c r="L388" s="3">
        <v>2800</v>
      </c>
      <c r="M388" s="3">
        <v>1750</v>
      </c>
      <c r="N388" s="5">
        <v>0.38461538461538458</v>
      </c>
    </row>
    <row r="389" spans="1:14" x14ac:dyDescent="0.3">
      <c r="A389" t="s">
        <v>567</v>
      </c>
      <c r="B389" s="2">
        <v>45965</v>
      </c>
      <c r="C389" t="s">
        <v>545</v>
      </c>
      <c r="D389" t="s">
        <v>22</v>
      </c>
      <c r="E389" t="s">
        <v>28</v>
      </c>
      <c r="F389" t="s">
        <v>18</v>
      </c>
      <c r="G389" t="s">
        <v>19</v>
      </c>
      <c r="H389">
        <v>19</v>
      </c>
      <c r="I389" s="3">
        <v>1800</v>
      </c>
      <c r="J389" s="3">
        <v>2600</v>
      </c>
      <c r="K389" s="3">
        <v>49400</v>
      </c>
      <c r="L389" s="3">
        <v>34200</v>
      </c>
      <c r="M389" s="3">
        <v>15200</v>
      </c>
      <c r="N389" s="5">
        <v>0.30769230769230771</v>
      </c>
    </row>
    <row r="390" spans="1:14" x14ac:dyDescent="0.3">
      <c r="A390" t="s">
        <v>568</v>
      </c>
      <c r="B390" s="2">
        <v>45701</v>
      </c>
      <c r="C390" t="s">
        <v>178</v>
      </c>
      <c r="D390" t="s">
        <v>35</v>
      </c>
      <c r="E390" t="s">
        <v>55</v>
      </c>
      <c r="F390" t="s">
        <v>24</v>
      </c>
      <c r="G390" t="s">
        <v>29</v>
      </c>
      <c r="H390">
        <v>5</v>
      </c>
      <c r="I390" s="3">
        <v>12000</v>
      </c>
      <c r="J390" s="3">
        <v>16500</v>
      </c>
      <c r="K390" s="3">
        <v>82500</v>
      </c>
      <c r="L390" s="3">
        <v>60000</v>
      </c>
      <c r="M390" s="3">
        <v>22500</v>
      </c>
      <c r="N390" s="5">
        <v>0.27272727272727271</v>
      </c>
    </row>
    <row r="391" spans="1:14" x14ac:dyDescent="0.3">
      <c r="A391" t="s">
        <v>569</v>
      </c>
      <c r="B391" s="2">
        <v>45699</v>
      </c>
      <c r="C391" t="s">
        <v>221</v>
      </c>
      <c r="D391" t="s">
        <v>35</v>
      </c>
      <c r="E391" t="s">
        <v>32</v>
      </c>
      <c r="F391" t="s">
        <v>18</v>
      </c>
      <c r="G391" t="s">
        <v>60</v>
      </c>
      <c r="H391">
        <v>3</v>
      </c>
      <c r="I391" s="3">
        <v>1800</v>
      </c>
      <c r="J391" s="3">
        <v>2800</v>
      </c>
      <c r="K391" s="3">
        <v>8400</v>
      </c>
      <c r="L391" s="3">
        <v>5400</v>
      </c>
      <c r="M391" s="3">
        <v>3000</v>
      </c>
      <c r="N391" s="5">
        <v>0.35714285714285721</v>
      </c>
    </row>
    <row r="392" spans="1:14" x14ac:dyDescent="0.3">
      <c r="A392" t="s">
        <v>570</v>
      </c>
      <c r="B392" s="2">
        <v>45842</v>
      </c>
      <c r="C392" t="s">
        <v>131</v>
      </c>
      <c r="D392" t="s">
        <v>16</v>
      </c>
      <c r="E392" t="s">
        <v>17</v>
      </c>
      <c r="F392" t="s">
        <v>47</v>
      </c>
      <c r="G392" t="s">
        <v>48</v>
      </c>
      <c r="H392">
        <v>1</v>
      </c>
      <c r="I392" s="3">
        <v>2800</v>
      </c>
      <c r="J392" s="3">
        <v>4200</v>
      </c>
      <c r="K392" s="3">
        <v>4200</v>
      </c>
      <c r="L392" s="3">
        <v>2800</v>
      </c>
      <c r="M392" s="3">
        <v>1400</v>
      </c>
      <c r="N392" s="5">
        <v>0.33333333333333331</v>
      </c>
    </row>
    <row r="393" spans="1:14" x14ac:dyDescent="0.3">
      <c r="A393" t="s">
        <v>571</v>
      </c>
      <c r="B393" s="2">
        <v>45666</v>
      </c>
      <c r="C393" t="s">
        <v>142</v>
      </c>
      <c r="D393" t="s">
        <v>40</v>
      </c>
      <c r="E393" t="s">
        <v>55</v>
      </c>
      <c r="F393" t="s">
        <v>18</v>
      </c>
      <c r="G393" t="s">
        <v>60</v>
      </c>
      <c r="H393">
        <v>14</v>
      </c>
      <c r="I393" s="3">
        <v>1800</v>
      </c>
      <c r="J393" s="3">
        <v>2800</v>
      </c>
      <c r="K393" s="3">
        <v>39200</v>
      </c>
      <c r="L393" s="3">
        <v>25200</v>
      </c>
      <c r="M393" s="3">
        <v>14000</v>
      </c>
      <c r="N393" s="5">
        <v>0.35714285714285721</v>
      </c>
    </row>
    <row r="394" spans="1:14" x14ac:dyDescent="0.3">
      <c r="A394" t="s">
        <v>572</v>
      </c>
      <c r="B394" s="2">
        <v>45675</v>
      </c>
      <c r="C394" t="s">
        <v>552</v>
      </c>
      <c r="D394" t="s">
        <v>40</v>
      </c>
      <c r="E394" t="s">
        <v>32</v>
      </c>
      <c r="F394" t="s">
        <v>41</v>
      </c>
      <c r="G394" t="s">
        <v>42</v>
      </c>
      <c r="H394">
        <v>19</v>
      </c>
      <c r="I394" s="3">
        <v>8500</v>
      </c>
      <c r="J394" s="3">
        <v>12000</v>
      </c>
      <c r="K394" s="3">
        <v>228000</v>
      </c>
      <c r="L394" s="3">
        <v>161500</v>
      </c>
      <c r="M394" s="3">
        <v>66500</v>
      </c>
      <c r="N394" s="5">
        <v>0.29166666666666669</v>
      </c>
    </row>
    <row r="395" spans="1:14" x14ac:dyDescent="0.3">
      <c r="A395" t="s">
        <v>573</v>
      </c>
      <c r="B395" s="2">
        <v>46012</v>
      </c>
      <c r="C395" t="s">
        <v>461</v>
      </c>
      <c r="D395" t="s">
        <v>40</v>
      </c>
      <c r="E395" t="s">
        <v>36</v>
      </c>
      <c r="F395" t="s">
        <v>47</v>
      </c>
      <c r="G395" t="s">
        <v>48</v>
      </c>
      <c r="H395">
        <v>1</v>
      </c>
      <c r="I395" s="3">
        <v>2800</v>
      </c>
      <c r="J395" s="3">
        <v>4200</v>
      </c>
      <c r="K395" s="3">
        <v>4200</v>
      </c>
      <c r="L395" s="3">
        <v>2800</v>
      </c>
      <c r="M395" s="3">
        <v>1400</v>
      </c>
      <c r="N395" s="5">
        <v>0.33333333333333331</v>
      </c>
    </row>
    <row r="396" spans="1:14" x14ac:dyDescent="0.3">
      <c r="A396" t="s">
        <v>574</v>
      </c>
      <c r="B396" s="2">
        <v>45763</v>
      </c>
      <c r="C396" t="s">
        <v>133</v>
      </c>
      <c r="D396" t="s">
        <v>35</v>
      </c>
      <c r="E396" t="s">
        <v>17</v>
      </c>
      <c r="F396" t="s">
        <v>24</v>
      </c>
      <c r="G396" t="s">
        <v>29</v>
      </c>
      <c r="H396">
        <v>20</v>
      </c>
      <c r="I396" s="3">
        <v>12000</v>
      </c>
      <c r="J396" s="3">
        <v>16500</v>
      </c>
      <c r="K396" s="3">
        <v>330000</v>
      </c>
      <c r="L396" s="3">
        <v>240000</v>
      </c>
      <c r="M396" s="3">
        <v>90000</v>
      </c>
      <c r="N396" s="5">
        <v>0.27272727272727271</v>
      </c>
    </row>
    <row r="397" spans="1:14" x14ac:dyDescent="0.3">
      <c r="A397" t="s">
        <v>575</v>
      </c>
      <c r="B397" s="2">
        <v>45723</v>
      </c>
      <c r="C397" t="s">
        <v>259</v>
      </c>
      <c r="D397" t="s">
        <v>46</v>
      </c>
      <c r="E397" t="s">
        <v>23</v>
      </c>
      <c r="F397" t="s">
        <v>47</v>
      </c>
      <c r="G397" t="s">
        <v>48</v>
      </c>
      <c r="H397">
        <v>20</v>
      </c>
      <c r="I397" s="3">
        <v>2800</v>
      </c>
      <c r="J397" s="3">
        <v>4200</v>
      </c>
      <c r="K397" s="3">
        <v>84000</v>
      </c>
      <c r="L397" s="3">
        <v>56000</v>
      </c>
      <c r="M397" s="3">
        <v>28000</v>
      </c>
      <c r="N397" s="5">
        <v>0.33333333333333331</v>
      </c>
    </row>
    <row r="398" spans="1:14" x14ac:dyDescent="0.3">
      <c r="A398" t="s">
        <v>576</v>
      </c>
      <c r="B398" s="2">
        <v>45944</v>
      </c>
      <c r="C398" t="s">
        <v>85</v>
      </c>
      <c r="D398" t="s">
        <v>16</v>
      </c>
      <c r="E398" t="s">
        <v>55</v>
      </c>
      <c r="F398" t="s">
        <v>18</v>
      </c>
      <c r="G398" t="s">
        <v>76</v>
      </c>
      <c r="H398">
        <v>9</v>
      </c>
      <c r="I398" s="3">
        <v>2500</v>
      </c>
      <c r="J398" s="3">
        <v>3600</v>
      </c>
      <c r="K398" s="3">
        <v>32400</v>
      </c>
      <c r="L398" s="3">
        <v>22500</v>
      </c>
      <c r="M398" s="3">
        <v>9900</v>
      </c>
      <c r="N398" s="5">
        <v>0.30555555555555558</v>
      </c>
    </row>
    <row r="399" spans="1:14" x14ac:dyDescent="0.3">
      <c r="A399" t="s">
        <v>577</v>
      </c>
      <c r="B399" s="2">
        <v>45983</v>
      </c>
      <c r="C399" t="s">
        <v>578</v>
      </c>
      <c r="D399" t="s">
        <v>22</v>
      </c>
      <c r="E399" t="s">
        <v>28</v>
      </c>
      <c r="F399" t="s">
        <v>18</v>
      </c>
      <c r="G399" t="s">
        <v>60</v>
      </c>
      <c r="H399">
        <v>19</v>
      </c>
      <c r="I399" s="3">
        <v>1800</v>
      </c>
      <c r="J399" s="3">
        <v>2800</v>
      </c>
      <c r="K399" s="3">
        <v>53200</v>
      </c>
      <c r="L399" s="3">
        <v>34200</v>
      </c>
      <c r="M399" s="3">
        <v>19000</v>
      </c>
      <c r="N399" s="5">
        <v>0.35714285714285721</v>
      </c>
    </row>
    <row r="400" spans="1:14" x14ac:dyDescent="0.3">
      <c r="A400" t="s">
        <v>579</v>
      </c>
      <c r="B400" s="2">
        <v>45954</v>
      </c>
      <c r="C400" t="s">
        <v>149</v>
      </c>
      <c r="D400" t="s">
        <v>16</v>
      </c>
      <c r="E400" t="s">
        <v>32</v>
      </c>
      <c r="F400" t="s">
        <v>18</v>
      </c>
      <c r="G400" t="s">
        <v>76</v>
      </c>
      <c r="H400">
        <v>3</v>
      </c>
      <c r="I400" s="3">
        <v>2500</v>
      </c>
      <c r="J400" s="3">
        <v>3600</v>
      </c>
      <c r="K400" s="3">
        <v>10800</v>
      </c>
      <c r="L400" s="3">
        <v>7500</v>
      </c>
      <c r="M400" s="3">
        <v>3300</v>
      </c>
      <c r="N400" s="5">
        <v>0.30555555555555558</v>
      </c>
    </row>
    <row r="401" spans="1:14" x14ac:dyDescent="0.3">
      <c r="A401" t="s">
        <v>580</v>
      </c>
      <c r="B401" s="2">
        <v>45699</v>
      </c>
      <c r="C401" t="s">
        <v>69</v>
      </c>
      <c r="D401" t="s">
        <v>16</v>
      </c>
      <c r="E401" t="s">
        <v>28</v>
      </c>
      <c r="F401" t="s">
        <v>18</v>
      </c>
      <c r="G401" t="s">
        <v>76</v>
      </c>
      <c r="H401">
        <v>20</v>
      </c>
      <c r="I401" s="3">
        <v>2500</v>
      </c>
      <c r="J401" s="3">
        <v>3600</v>
      </c>
      <c r="K401" s="3">
        <v>72000</v>
      </c>
      <c r="L401" s="3">
        <v>50000</v>
      </c>
      <c r="M401" s="3">
        <v>22000</v>
      </c>
      <c r="N401" s="5">
        <v>0.30555555555555558</v>
      </c>
    </row>
    <row r="402" spans="1:14" x14ac:dyDescent="0.3">
      <c r="A402" t="s">
        <v>581</v>
      </c>
      <c r="B402" s="2">
        <v>46008</v>
      </c>
      <c r="C402" t="s">
        <v>50</v>
      </c>
      <c r="D402" t="s">
        <v>22</v>
      </c>
      <c r="E402" t="s">
        <v>36</v>
      </c>
      <c r="F402" t="s">
        <v>18</v>
      </c>
      <c r="G402" t="s">
        <v>19</v>
      </c>
      <c r="H402">
        <v>2</v>
      </c>
      <c r="I402" s="3">
        <v>1800</v>
      </c>
      <c r="J402" s="3">
        <v>2600</v>
      </c>
      <c r="K402" s="3">
        <v>5200</v>
      </c>
      <c r="L402" s="3">
        <v>3600</v>
      </c>
      <c r="M402" s="3">
        <v>1600</v>
      </c>
      <c r="N402" s="5">
        <v>0.30769230769230771</v>
      </c>
    </row>
    <row r="403" spans="1:14" x14ac:dyDescent="0.3">
      <c r="A403" t="s">
        <v>582</v>
      </c>
      <c r="B403" s="2">
        <v>45810</v>
      </c>
      <c r="C403" t="s">
        <v>351</v>
      </c>
      <c r="D403" t="s">
        <v>16</v>
      </c>
      <c r="E403" t="s">
        <v>36</v>
      </c>
      <c r="F403" t="s">
        <v>18</v>
      </c>
      <c r="G403" t="s">
        <v>19</v>
      </c>
      <c r="H403">
        <v>16</v>
      </c>
      <c r="I403" s="3">
        <v>1800</v>
      </c>
      <c r="J403" s="3">
        <v>2600</v>
      </c>
      <c r="K403" s="3">
        <v>41600</v>
      </c>
      <c r="L403" s="3">
        <v>28800</v>
      </c>
      <c r="M403" s="3">
        <v>12800</v>
      </c>
      <c r="N403" s="5">
        <v>0.30769230769230771</v>
      </c>
    </row>
    <row r="404" spans="1:14" x14ac:dyDescent="0.3">
      <c r="A404" t="s">
        <v>583</v>
      </c>
      <c r="B404" s="2">
        <v>45753</v>
      </c>
      <c r="C404" t="s">
        <v>545</v>
      </c>
      <c r="D404" t="s">
        <v>46</v>
      </c>
      <c r="E404" t="s">
        <v>28</v>
      </c>
      <c r="F404" t="s">
        <v>24</v>
      </c>
      <c r="G404" t="s">
        <v>63</v>
      </c>
      <c r="H404">
        <v>8</v>
      </c>
      <c r="I404" s="3">
        <v>42000</v>
      </c>
      <c r="J404" s="3">
        <v>55000</v>
      </c>
      <c r="K404" s="3">
        <v>440000</v>
      </c>
      <c r="L404" s="3">
        <v>336000</v>
      </c>
      <c r="M404" s="3">
        <v>104000</v>
      </c>
      <c r="N404" s="5">
        <v>0.23636363636363639</v>
      </c>
    </row>
    <row r="405" spans="1:14" x14ac:dyDescent="0.3">
      <c r="A405" t="s">
        <v>584</v>
      </c>
      <c r="B405" s="2">
        <v>45683</v>
      </c>
      <c r="C405" t="s">
        <v>138</v>
      </c>
      <c r="D405" t="s">
        <v>40</v>
      </c>
      <c r="E405" t="s">
        <v>55</v>
      </c>
      <c r="F405" t="s">
        <v>18</v>
      </c>
      <c r="G405" t="s">
        <v>72</v>
      </c>
      <c r="H405">
        <v>8</v>
      </c>
      <c r="I405" s="3">
        <v>900</v>
      </c>
      <c r="J405" s="3">
        <v>1500</v>
      </c>
      <c r="K405" s="3">
        <v>12000</v>
      </c>
      <c r="L405" s="3">
        <v>7200</v>
      </c>
      <c r="M405" s="3">
        <v>4800</v>
      </c>
      <c r="N405" s="5">
        <v>0.4</v>
      </c>
    </row>
    <row r="406" spans="1:14" x14ac:dyDescent="0.3">
      <c r="A406" t="s">
        <v>585</v>
      </c>
      <c r="B406" s="2">
        <v>46013</v>
      </c>
      <c r="C406" t="s">
        <v>168</v>
      </c>
      <c r="D406" t="s">
        <v>16</v>
      </c>
      <c r="E406" t="s">
        <v>32</v>
      </c>
      <c r="F406" t="s">
        <v>18</v>
      </c>
      <c r="G406" t="s">
        <v>37</v>
      </c>
      <c r="H406">
        <v>18</v>
      </c>
      <c r="I406" s="3">
        <v>400</v>
      </c>
      <c r="J406" s="3">
        <v>650</v>
      </c>
      <c r="K406" s="3">
        <v>11700</v>
      </c>
      <c r="L406" s="3">
        <v>7200</v>
      </c>
      <c r="M406" s="3">
        <v>4500</v>
      </c>
      <c r="N406" s="5">
        <v>0.38461538461538458</v>
      </c>
    </row>
    <row r="407" spans="1:14" x14ac:dyDescent="0.3">
      <c r="A407" t="s">
        <v>586</v>
      </c>
      <c r="B407" s="2">
        <v>45731</v>
      </c>
      <c r="C407" t="s">
        <v>552</v>
      </c>
      <c r="D407" t="s">
        <v>35</v>
      </c>
      <c r="E407" t="s">
        <v>32</v>
      </c>
      <c r="F407" t="s">
        <v>47</v>
      </c>
      <c r="G407" t="s">
        <v>48</v>
      </c>
      <c r="H407">
        <v>18</v>
      </c>
      <c r="I407" s="3">
        <v>2800</v>
      </c>
      <c r="J407" s="3">
        <v>4200</v>
      </c>
      <c r="K407" s="3">
        <v>75600</v>
      </c>
      <c r="L407" s="3">
        <v>50400</v>
      </c>
      <c r="M407" s="3">
        <v>25200</v>
      </c>
      <c r="N407" s="5">
        <v>0.33333333333333331</v>
      </c>
    </row>
    <row r="408" spans="1:14" x14ac:dyDescent="0.3">
      <c r="A408" t="s">
        <v>587</v>
      </c>
      <c r="B408" s="2">
        <v>45940</v>
      </c>
      <c r="C408" t="s">
        <v>493</v>
      </c>
      <c r="D408" t="s">
        <v>46</v>
      </c>
      <c r="E408" t="s">
        <v>17</v>
      </c>
      <c r="F408" t="s">
        <v>41</v>
      </c>
      <c r="G408" t="s">
        <v>42</v>
      </c>
      <c r="H408">
        <v>18</v>
      </c>
      <c r="I408" s="3">
        <v>8500</v>
      </c>
      <c r="J408" s="3">
        <v>12000</v>
      </c>
      <c r="K408" s="3">
        <v>216000</v>
      </c>
      <c r="L408" s="3">
        <v>153000</v>
      </c>
      <c r="M408" s="3">
        <v>63000</v>
      </c>
      <c r="N408" s="5">
        <v>0.29166666666666669</v>
      </c>
    </row>
    <row r="409" spans="1:14" x14ac:dyDescent="0.3">
      <c r="A409" t="s">
        <v>588</v>
      </c>
      <c r="B409" s="2">
        <v>45755</v>
      </c>
      <c r="C409" t="s">
        <v>407</v>
      </c>
      <c r="D409" t="s">
        <v>22</v>
      </c>
      <c r="E409" t="s">
        <v>28</v>
      </c>
      <c r="F409" t="s">
        <v>18</v>
      </c>
      <c r="G409" t="s">
        <v>37</v>
      </c>
      <c r="H409">
        <v>16</v>
      </c>
      <c r="I409" s="3">
        <v>400</v>
      </c>
      <c r="J409" s="3">
        <v>650</v>
      </c>
      <c r="K409" s="3">
        <v>10400</v>
      </c>
      <c r="L409" s="3">
        <v>6400</v>
      </c>
      <c r="M409" s="3">
        <v>4000</v>
      </c>
      <c r="N409" s="5">
        <v>0.38461538461538458</v>
      </c>
    </row>
    <row r="410" spans="1:14" x14ac:dyDescent="0.3">
      <c r="A410" t="s">
        <v>589</v>
      </c>
      <c r="B410" s="2">
        <v>45735</v>
      </c>
      <c r="C410" t="s">
        <v>238</v>
      </c>
      <c r="D410" t="s">
        <v>35</v>
      </c>
      <c r="E410" t="s">
        <v>55</v>
      </c>
      <c r="F410" t="s">
        <v>18</v>
      </c>
      <c r="G410" t="s">
        <v>37</v>
      </c>
      <c r="H410">
        <v>7</v>
      </c>
      <c r="I410" s="3">
        <v>400</v>
      </c>
      <c r="J410" s="3">
        <v>650</v>
      </c>
      <c r="K410" s="3">
        <v>4550</v>
      </c>
      <c r="L410" s="3">
        <v>2800</v>
      </c>
      <c r="M410" s="3">
        <v>1750</v>
      </c>
      <c r="N410" s="5">
        <v>0.38461538461538458</v>
      </c>
    </row>
    <row r="411" spans="1:14" x14ac:dyDescent="0.3">
      <c r="A411" t="s">
        <v>590</v>
      </c>
      <c r="B411" s="2">
        <v>45901</v>
      </c>
      <c r="C411" t="s">
        <v>307</v>
      </c>
      <c r="D411" t="s">
        <v>35</v>
      </c>
      <c r="E411" t="s">
        <v>28</v>
      </c>
      <c r="F411" t="s">
        <v>24</v>
      </c>
      <c r="G411" t="s">
        <v>29</v>
      </c>
      <c r="H411">
        <v>3</v>
      </c>
      <c r="I411" s="3">
        <v>12000</v>
      </c>
      <c r="J411" s="3">
        <v>16500</v>
      </c>
      <c r="K411" s="3">
        <v>49500</v>
      </c>
      <c r="L411" s="3">
        <v>36000</v>
      </c>
      <c r="M411" s="3">
        <v>13500</v>
      </c>
      <c r="N411" s="5">
        <v>0.27272727272727271</v>
      </c>
    </row>
    <row r="412" spans="1:14" x14ac:dyDescent="0.3">
      <c r="A412" t="s">
        <v>591</v>
      </c>
      <c r="B412" s="2">
        <v>45662</v>
      </c>
      <c r="C412" t="s">
        <v>156</v>
      </c>
      <c r="D412" t="s">
        <v>16</v>
      </c>
      <c r="E412" t="s">
        <v>55</v>
      </c>
      <c r="F412" t="s">
        <v>18</v>
      </c>
      <c r="G412" t="s">
        <v>72</v>
      </c>
      <c r="H412">
        <v>14</v>
      </c>
      <c r="I412" s="3">
        <v>900</v>
      </c>
      <c r="J412" s="3">
        <v>1500</v>
      </c>
      <c r="K412" s="3">
        <v>21000</v>
      </c>
      <c r="L412" s="3">
        <v>12600</v>
      </c>
      <c r="M412" s="3">
        <v>8400</v>
      </c>
      <c r="N412" s="5">
        <v>0.4</v>
      </c>
    </row>
    <row r="413" spans="1:14" x14ac:dyDescent="0.3">
      <c r="A413" t="s">
        <v>592</v>
      </c>
      <c r="B413" s="2">
        <v>45983</v>
      </c>
      <c r="C413" t="s">
        <v>349</v>
      </c>
      <c r="D413" t="s">
        <v>46</v>
      </c>
      <c r="E413" t="s">
        <v>32</v>
      </c>
      <c r="F413" t="s">
        <v>41</v>
      </c>
      <c r="G413" t="s">
        <v>42</v>
      </c>
      <c r="H413">
        <v>13</v>
      </c>
      <c r="I413" s="3">
        <v>8500</v>
      </c>
      <c r="J413" s="3">
        <v>12000</v>
      </c>
      <c r="K413" s="3">
        <v>156000</v>
      </c>
      <c r="L413" s="3">
        <v>110500</v>
      </c>
      <c r="M413" s="3">
        <v>45500</v>
      </c>
      <c r="N413" s="5">
        <v>0.29166666666666669</v>
      </c>
    </row>
    <row r="414" spans="1:14" x14ac:dyDescent="0.3">
      <c r="A414" t="s">
        <v>593</v>
      </c>
      <c r="B414" s="2">
        <v>45962</v>
      </c>
      <c r="C414" t="s">
        <v>131</v>
      </c>
      <c r="D414" t="s">
        <v>40</v>
      </c>
      <c r="E414" t="s">
        <v>32</v>
      </c>
      <c r="F414" t="s">
        <v>47</v>
      </c>
      <c r="G414" t="s">
        <v>48</v>
      </c>
      <c r="H414">
        <v>10</v>
      </c>
      <c r="I414" s="3">
        <v>2800</v>
      </c>
      <c r="J414" s="3">
        <v>4200</v>
      </c>
      <c r="K414" s="3">
        <v>42000</v>
      </c>
      <c r="L414" s="3">
        <v>28000</v>
      </c>
      <c r="M414" s="3">
        <v>14000</v>
      </c>
      <c r="N414" s="5">
        <v>0.33333333333333331</v>
      </c>
    </row>
    <row r="415" spans="1:14" x14ac:dyDescent="0.3">
      <c r="A415" t="s">
        <v>594</v>
      </c>
      <c r="B415" s="2">
        <v>45927</v>
      </c>
      <c r="C415" t="s">
        <v>39</v>
      </c>
      <c r="D415" t="s">
        <v>22</v>
      </c>
      <c r="E415" t="s">
        <v>36</v>
      </c>
      <c r="F415" t="s">
        <v>18</v>
      </c>
      <c r="G415" t="s">
        <v>76</v>
      </c>
      <c r="H415">
        <v>19</v>
      </c>
      <c r="I415" s="3">
        <v>2500</v>
      </c>
      <c r="J415" s="3">
        <v>3600</v>
      </c>
      <c r="K415" s="3">
        <v>68400</v>
      </c>
      <c r="L415" s="3">
        <v>47500</v>
      </c>
      <c r="M415" s="3">
        <v>20900</v>
      </c>
      <c r="N415" s="5">
        <v>0.30555555555555558</v>
      </c>
    </row>
    <row r="416" spans="1:14" x14ac:dyDescent="0.3">
      <c r="A416" t="s">
        <v>595</v>
      </c>
      <c r="B416" s="2">
        <v>45930</v>
      </c>
      <c r="C416" t="s">
        <v>407</v>
      </c>
      <c r="D416" t="s">
        <v>46</v>
      </c>
      <c r="E416" t="s">
        <v>17</v>
      </c>
      <c r="F416" t="s">
        <v>18</v>
      </c>
      <c r="G416" t="s">
        <v>60</v>
      </c>
      <c r="H416">
        <v>18</v>
      </c>
      <c r="I416" s="3">
        <v>1800</v>
      </c>
      <c r="J416" s="3">
        <v>2800</v>
      </c>
      <c r="K416" s="3">
        <v>50400</v>
      </c>
      <c r="L416" s="3">
        <v>32400</v>
      </c>
      <c r="M416" s="3">
        <v>18000</v>
      </c>
      <c r="N416" s="5">
        <v>0.35714285714285721</v>
      </c>
    </row>
    <row r="417" spans="1:14" x14ac:dyDescent="0.3">
      <c r="A417" t="s">
        <v>596</v>
      </c>
      <c r="B417" s="2">
        <v>45766</v>
      </c>
      <c r="C417" t="s">
        <v>108</v>
      </c>
      <c r="D417" t="s">
        <v>16</v>
      </c>
      <c r="E417" t="s">
        <v>36</v>
      </c>
      <c r="F417" t="s">
        <v>24</v>
      </c>
      <c r="G417" t="s">
        <v>63</v>
      </c>
      <c r="H417">
        <v>6</v>
      </c>
      <c r="I417" s="3">
        <v>42000</v>
      </c>
      <c r="J417" s="3">
        <v>55000</v>
      </c>
      <c r="K417" s="3">
        <v>330000</v>
      </c>
      <c r="L417" s="3">
        <v>252000</v>
      </c>
      <c r="M417" s="3">
        <v>78000</v>
      </c>
      <c r="N417" s="5">
        <v>0.23636363636363639</v>
      </c>
    </row>
    <row r="418" spans="1:14" x14ac:dyDescent="0.3">
      <c r="A418" t="s">
        <v>597</v>
      </c>
      <c r="B418" s="2">
        <v>45832</v>
      </c>
      <c r="C418" t="s">
        <v>69</v>
      </c>
      <c r="D418" t="s">
        <v>40</v>
      </c>
      <c r="E418" t="s">
        <v>55</v>
      </c>
      <c r="F418" t="s">
        <v>24</v>
      </c>
      <c r="G418" t="s">
        <v>29</v>
      </c>
      <c r="H418">
        <v>11</v>
      </c>
      <c r="I418" s="3">
        <v>12000</v>
      </c>
      <c r="J418" s="3">
        <v>16500</v>
      </c>
      <c r="K418" s="3">
        <v>181500</v>
      </c>
      <c r="L418" s="3">
        <v>132000</v>
      </c>
      <c r="M418" s="3">
        <v>49500</v>
      </c>
      <c r="N418" s="5">
        <v>0.27272727272727271</v>
      </c>
    </row>
    <row r="419" spans="1:14" x14ac:dyDescent="0.3">
      <c r="A419" t="s">
        <v>598</v>
      </c>
      <c r="B419" s="2">
        <v>45927</v>
      </c>
      <c r="C419" t="s">
        <v>599</v>
      </c>
      <c r="D419" t="s">
        <v>40</v>
      </c>
      <c r="E419" t="s">
        <v>55</v>
      </c>
      <c r="F419" t="s">
        <v>24</v>
      </c>
      <c r="G419" t="s">
        <v>63</v>
      </c>
      <c r="H419">
        <v>20</v>
      </c>
      <c r="I419" s="3">
        <v>42000</v>
      </c>
      <c r="J419" s="3">
        <v>55000</v>
      </c>
      <c r="K419" s="3">
        <v>1100000</v>
      </c>
      <c r="L419" s="3">
        <v>840000</v>
      </c>
      <c r="M419" s="3">
        <v>260000</v>
      </c>
      <c r="N419" s="5">
        <v>0.23636363636363639</v>
      </c>
    </row>
    <row r="420" spans="1:14" x14ac:dyDescent="0.3">
      <c r="A420" t="s">
        <v>600</v>
      </c>
      <c r="B420" s="2">
        <v>45961</v>
      </c>
      <c r="C420" t="s">
        <v>407</v>
      </c>
      <c r="D420" t="s">
        <v>16</v>
      </c>
      <c r="E420" t="s">
        <v>32</v>
      </c>
      <c r="F420" t="s">
        <v>24</v>
      </c>
      <c r="G420" t="s">
        <v>29</v>
      </c>
      <c r="H420">
        <v>5</v>
      </c>
      <c r="I420" s="3">
        <v>12000</v>
      </c>
      <c r="J420" s="3">
        <v>16500</v>
      </c>
      <c r="K420" s="3">
        <v>82500</v>
      </c>
      <c r="L420" s="3">
        <v>60000</v>
      </c>
      <c r="M420" s="3">
        <v>22500</v>
      </c>
      <c r="N420" s="5">
        <v>0.27272727272727271</v>
      </c>
    </row>
    <row r="421" spans="1:14" x14ac:dyDescent="0.3">
      <c r="A421" t="s">
        <v>601</v>
      </c>
      <c r="B421" s="2">
        <v>45905</v>
      </c>
      <c r="C421" t="s">
        <v>138</v>
      </c>
      <c r="D421" t="s">
        <v>40</v>
      </c>
      <c r="E421" t="s">
        <v>55</v>
      </c>
      <c r="F421" t="s">
        <v>47</v>
      </c>
      <c r="G421" t="s">
        <v>48</v>
      </c>
      <c r="H421">
        <v>4</v>
      </c>
      <c r="I421" s="3">
        <v>2800</v>
      </c>
      <c r="J421" s="3">
        <v>4200</v>
      </c>
      <c r="K421" s="3">
        <v>16800</v>
      </c>
      <c r="L421" s="3">
        <v>11200</v>
      </c>
      <c r="M421" s="3">
        <v>5600</v>
      </c>
      <c r="N421" s="5">
        <v>0.33333333333333331</v>
      </c>
    </row>
    <row r="422" spans="1:14" x14ac:dyDescent="0.3">
      <c r="A422" t="s">
        <v>602</v>
      </c>
      <c r="B422" s="2">
        <v>45967</v>
      </c>
      <c r="C422" t="s">
        <v>325</v>
      </c>
      <c r="D422" t="s">
        <v>22</v>
      </c>
      <c r="E422" t="s">
        <v>55</v>
      </c>
      <c r="F422" t="s">
        <v>18</v>
      </c>
      <c r="G422" t="s">
        <v>37</v>
      </c>
      <c r="H422">
        <v>4</v>
      </c>
      <c r="I422" s="3">
        <v>400</v>
      </c>
      <c r="J422" s="3">
        <v>650</v>
      </c>
      <c r="K422" s="3">
        <v>2600</v>
      </c>
      <c r="L422" s="3">
        <v>1600</v>
      </c>
      <c r="M422" s="3">
        <v>1000</v>
      </c>
      <c r="N422" s="5">
        <v>0.38461538461538458</v>
      </c>
    </row>
    <row r="423" spans="1:14" x14ac:dyDescent="0.3">
      <c r="A423" t="s">
        <v>603</v>
      </c>
      <c r="B423" s="2">
        <v>46019</v>
      </c>
      <c r="C423" t="s">
        <v>433</v>
      </c>
      <c r="D423" t="s">
        <v>16</v>
      </c>
      <c r="E423" t="s">
        <v>55</v>
      </c>
      <c r="F423" t="s">
        <v>24</v>
      </c>
      <c r="G423" t="s">
        <v>63</v>
      </c>
      <c r="H423">
        <v>14</v>
      </c>
      <c r="I423" s="3">
        <v>42000</v>
      </c>
      <c r="J423" s="3">
        <v>55000</v>
      </c>
      <c r="K423" s="3">
        <v>770000</v>
      </c>
      <c r="L423" s="3">
        <v>588000</v>
      </c>
      <c r="M423" s="3">
        <v>182000</v>
      </c>
      <c r="N423" s="5">
        <v>0.23636363636363639</v>
      </c>
    </row>
    <row r="424" spans="1:14" x14ac:dyDescent="0.3">
      <c r="A424" t="s">
        <v>604</v>
      </c>
      <c r="B424" s="2">
        <v>45877</v>
      </c>
      <c r="C424" t="s">
        <v>223</v>
      </c>
      <c r="D424" t="s">
        <v>46</v>
      </c>
      <c r="E424" t="s">
        <v>55</v>
      </c>
      <c r="F424" t="s">
        <v>24</v>
      </c>
      <c r="G424" t="s">
        <v>29</v>
      </c>
      <c r="H424">
        <v>11</v>
      </c>
      <c r="I424" s="3">
        <v>12000</v>
      </c>
      <c r="J424" s="3">
        <v>16500</v>
      </c>
      <c r="K424" s="3">
        <v>181500</v>
      </c>
      <c r="L424" s="3">
        <v>132000</v>
      </c>
      <c r="M424" s="3">
        <v>49500</v>
      </c>
      <c r="N424" s="5">
        <v>0.27272727272727271</v>
      </c>
    </row>
    <row r="425" spans="1:14" x14ac:dyDescent="0.3">
      <c r="A425" t="s">
        <v>605</v>
      </c>
      <c r="B425" s="2">
        <v>45695</v>
      </c>
      <c r="C425" t="s">
        <v>89</v>
      </c>
      <c r="D425" t="s">
        <v>35</v>
      </c>
      <c r="E425" t="s">
        <v>23</v>
      </c>
      <c r="F425" t="s">
        <v>47</v>
      </c>
      <c r="G425" t="s">
        <v>48</v>
      </c>
      <c r="H425">
        <v>2</v>
      </c>
      <c r="I425" s="3">
        <v>2800</v>
      </c>
      <c r="J425" s="3">
        <v>4200</v>
      </c>
      <c r="K425" s="3">
        <v>8400</v>
      </c>
      <c r="L425" s="3">
        <v>5600</v>
      </c>
      <c r="M425" s="3">
        <v>2800</v>
      </c>
      <c r="N425" s="5">
        <v>0.33333333333333331</v>
      </c>
    </row>
    <row r="426" spans="1:14" x14ac:dyDescent="0.3">
      <c r="A426" t="s">
        <v>606</v>
      </c>
      <c r="B426" s="2">
        <v>45998</v>
      </c>
      <c r="C426" t="s">
        <v>396</v>
      </c>
      <c r="D426" t="s">
        <v>40</v>
      </c>
      <c r="E426" t="s">
        <v>55</v>
      </c>
      <c r="F426" t="s">
        <v>18</v>
      </c>
      <c r="G426" t="s">
        <v>72</v>
      </c>
      <c r="H426">
        <v>20</v>
      </c>
      <c r="I426" s="3">
        <v>900</v>
      </c>
      <c r="J426" s="3">
        <v>1500</v>
      </c>
      <c r="K426" s="3">
        <v>30000</v>
      </c>
      <c r="L426" s="3">
        <v>18000</v>
      </c>
      <c r="M426" s="3">
        <v>12000</v>
      </c>
      <c r="N426" s="5">
        <v>0.4</v>
      </c>
    </row>
    <row r="427" spans="1:14" x14ac:dyDescent="0.3">
      <c r="A427" t="s">
        <v>607</v>
      </c>
      <c r="B427" s="2">
        <v>45779</v>
      </c>
      <c r="C427" t="s">
        <v>300</v>
      </c>
      <c r="D427" t="s">
        <v>16</v>
      </c>
      <c r="E427" t="s">
        <v>55</v>
      </c>
      <c r="F427" t="s">
        <v>18</v>
      </c>
      <c r="G427" t="s">
        <v>72</v>
      </c>
      <c r="H427">
        <v>6</v>
      </c>
      <c r="I427" s="3">
        <v>900</v>
      </c>
      <c r="J427" s="3">
        <v>1500</v>
      </c>
      <c r="K427" s="3">
        <v>9000</v>
      </c>
      <c r="L427" s="3">
        <v>5400</v>
      </c>
      <c r="M427" s="3">
        <v>3600</v>
      </c>
      <c r="N427" s="5">
        <v>0.4</v>
      </c>
    </row>
    <row r="428" spans="1:14" x14ac:dyDescent="0.3">
      <c r="A428" t="s">
        <v>608</v>
      </c>
      <c r="B428" s="2">
        <v>45706</v>
      </c>
      <c r="C428" t="s">
        <v>609</v>
      </c>
      <c r="D428" t="s">
        <v>40</v>
      </c>
      <c r="E428" t="s">
        <v>36</v>
      </c>
      <c r="F428" t="s">
        <v>24</v>
      </c>
      <c r="G428" t="s">
        <v>25</v>
      </c>
      <c r="H428">
        <v>11</v>
      </c>
      <c r="I428" s="3">
        <v>15000</v>
      </c>
      <c r="J428" s="3">
        <v>19500</v>
      </c>
      <c r="K428" s="3">
        <v>214500</v>
      </c>
      <c r="L428" s="3">
        <v>165000</v>
      </c>
      <c r="M428" s="3">
        <v>49500</v>
      </c>
      <c r="N428" s="5">
        <v>0.23076923076923081</v>
      </c>
    </row>
    <row r="429" spans="1:14" x14ac:dyDescent="0.3">
      <c r="A429" t="s">
        <v>610</v>
      </c>
      <c r="B429" s="2">
        <v>45706</v>
      </c>
      <c r="C429" t="s">
        <v>34</v>
      </c>
      <c r="D429" t="s">
        <v>16</v>
      </c>
      <c r="E429" t="s">
        <v>36</v>
      </c>
      <c r="F429" t="s">
        <v>18</v>
      </c>
      <c r="G429" t="s">
        <v>37</v>
      </c>
      <c r="H429">
        <v>2</v>
      </c>
      <c r="I429" s="3">
        <v>400</v>
      </c>
      <c r="J429" s="3">
        <v>650</v>
      </c>
      <c r="K429" s="3">
        <v>1300</v>
      </c>
      <c r="L429" s="3">
        <v>800</v>
      </c>
      <c r="M429" s="3">
        <v>500</v>
      </c>
      <c r="N429" s="5">
        <v>0.38461538461538458</v>
      </c>
    </row>
    <row r="430" spans="1:14" x14ac:dyDescent="0.3">
      <c r="A430" t="s">
        <v>611</v>
      </c>
      <c r="B430" s="2">
        <v>45664</v>
      </c>
      <c r="C430" t="s">
        <v>612</v>
      </c>
      <c r="D430" t="s">
        <v>46</v>
      </c>
      <c r="E430" t="s">
        <v>32</v>
      </c>
      <c r="F430" t="s">
        <v>18</v>
      </c>
      <c r="G430" t="s">
        <v>76</v>
      </c>
      <c r="H430">
        <v>1</v>
      </c>
      <c r="I430" s="3">
        <v>2500</v>
      </c>
      <c r="J430" s="3">
        <v>3600</v>
      </c>
      <c r="K430" s="3">
        <v>3600</v>
      </c>
      <c r="L430" s="3">
        <v>2500</v>
      </c>
      <c r="M430" s="3">
        <v>1100</v>
      </c>
      <c r="N430" s="5">
        <v>0.30555555555555558</v>
      </c>
    </row>
    <row r="431" spans="1:14" x14ac:dyDescent="0.3">
      <c r="A431" t="s">
        <v>613</v>
      </c>
      <c r="B431" s="2">
        <v>45838</v>
      </c>
      <c r="C431" t="s">
        <v>151</v>
      </c>
      <c r="D431" t="s">
        <v>46</v>
      </c>
      <c r="E431" t="s">
        <v>23</v>
      </c>
      <c r="F431" t="s">
        <v>18</v>
      </c>
      <c r="G431" t="s">
        <v>60</v>
      </c>
      <c r="H431">
        <v>16</v>
      </c>
      <c r="I431" s="3">
        <v>1800</v>
      </c>
      <c r="J431" s="3">
        <v>2800</v>
      </c>
      <c r="K431" s="3">
        <v>44800</v>
      </c>
      <c r="L431" s="3">
        <v>28800</v>
      </c>
      <c r="M431" s="3">
        <v>16000</v>
      </c>
      <c r="N431" s="5">
        <v>0.35714285714285721</v>
      </c>
    </row>
    <row r="432" spans="1:14" x14ac:dyDescent="0.3">
      <c r="A432" t="s">
        <v>614</v>
      </c>
      <c r="B432" s="2">
        <v>45957</v>
      </c>
      <c r="C432" t="s">
        <v>487</v>
      </c>
      <c r="D432" t="s">
        <v>46</v>
      </c>
      <c r="E432" t="s">
        <v>28</v>
      </c>
      <c r="F432" t="s">
        <v>18</v>
      </c>
      <c r="G432" t="s">
        <v>76</v>
      </c>
      <c r="H432">
        <v>13</v>
      </c>
      <c r="I432" s="3">
        <v>2500</v>
      </c>
      <c r="J432" s="3">
        <v>3600</v>
      </c>
      <c r="K432" s="3">
        <v>46800</v>
      </c>
      <c r="L432" s="3">
        <v>32500</v>
      </c>
      <c r="M432" s="3">
        <v>14300</v>
      </c>
      <c r="N432" s="5">
        <v>0.30555555555555558</v>
      </c>
    </row>
    <row r="433" spans="1:14" x14ac:dyDescent="0.3">
      <c r="A433" t="s">
        <v>615</v>
      </c>
      <c r="B433" s="2">
        <v>45856</v>
      </c>
      <c r="C433" t="s">
        <v>255</v>
      </c>
      <c r="D433" t="s">
        <v>16</v>
      </c>
      <c r="E433" t="s">
        <v>36</v>
      </c>
      <c r="F433" t="s">
        <v>18</v>
      </c>
      <c r="G433" t="s">
        <v>76</v>
      </c>
      <c r="H433">
        <v>3</v>
      </c>
      <c r="I433" s="3">
        <v>2500</v>
      </c>
      <c r="J433" s="3">
        <v>3600</v>
      </c>
      <c r="K433" s="3">
        <v>10800</v>
      </c>
      <c r="L433" s="3">
        <v>7500</v>
      </c>
      <c r="M433" s="3">
        <v>3300</v>
      </c>
      <c r="N433" s="5">
        <v>0.30555555555555558</v>
      </c>
    </row>
    <row r="434" spans="1:14" x14ac:dyDescent="0.3">
      <c r="A434" t="s">
        <v>616</v>
      </c>
      <c r="B434" s="2">
        <v>45709</v>
      </c>
      <c r="C434" t="s">
        <v>461</v>
      </c>
      <c r="D434" t="s">
        <v>16</v>
      </c>
      <c r="E434" t="s">
        <v>23</v>
      </c>
      <c r="F434" t="s">
        <v>24</v>
      </c>
      <c r="G434" t="s">
        <v>29</v>
      </c>
      <c r="H434">
        <v>19</v>
      </c>
      <c r="I434" s="3">
        <v>12000</v>
      </c>
      <c r="J434" s="3">
        <v>16500</v>
      </c>
      <c r="K434" s="3">
        <v>313500</v>
      </c>
      <c r="L434" s="3">
        <v>228000</v>
      </c>
      <c r="M434" s="3">
        <v>85500</v>
      </c>
      <c r="N434" s="5">
        <v>0.27272727272727271</v>
      </c>
    </row>
    <row r="435" spans="1:14" x14ac:dyDescent="0.3">
      <c r="A435" t="s">
        <v>617</v>
      </c>
      <c r="B435" s="2">
        <v>45916</v>
      </c>
      <c r="C435" t="s">
        <v>168</v>
      </c>
      <c r="D435" t="s">
        <v>22</v>
      </c>
      <c r="E435" t="s">
        <v>28</v>
      </c>
      <c r="F435" t="s">
        <v>24</v>
      </c>
      <c r="G435" t="s">
        <v>29</v>
      </c>
      <c r="H435">
        <v>20</v>
      </c>
      <c r="I435" s="3">
        <v>12000</v>
      </c>
      <c r="J435" s="3">
        <v>16500</v>
      </c>
      <c r="K435" s="3">
        <v>330000</v>
      </c>
      <c r="L435" s="3">
        <v>240000</v>
      </c>
      <c r="M435" s="3">
        <v>90000</v>
      </c>
      <c r="N435" s="5">
        <v>0.27272727272727271</v>
      </c>
    </row>
    <row r="436" spans="1:14" x14ac:dyDescent="0.3">
      <c r="A436" t="s">
        <v>618</v>
      </c>
      <c r="B436" s="2">
        <v>45786</v>
      </c>
      <c r="C436" t="s">
        <v>200</v>
      </c>
      <c r="D436" t="s">
        <v>22</v>
      </c>
      <c r="E436" t="s">
        <v>32</v>
      </c>
      <c r="F436" t="s">
        <v>18</v>
      </c>
      <c r="G436" t="s">
        <v>37</v>
      </c>
      <c r="H436">
        <v>19</v>
      </c>
      <c r="I436" s="3">
        <v>400</v>
      </c>
      <c r="J436" s="3">
        <v>650</v>
      </c>
      <c r="K436" s="3">
        <v>12350</v>
      </c>
      <c r="L436" s="3">
        <v>7600</v>
      </c>
      <c r="M436" s="3">
        <v>4750</v>
      </c>
      <c r="N436" s="5">
        <v>0.38461538461538458</v>
      </c>
    </row>
    <row r="437" spans="1:14" x14ac:dyDescent="0.3">
      <c r="A437" t="s">
        <v>619</v>
      </c>
      <c r="B437" s="2">
        <v>45736</v>
      </c>
      <c r="C437" t="s">
        <v>69</v>
      </c>
      <c r="D437" t="s">
        <v>40</v>
      </c>
      <c r="E437" t="s">
        <v>36</v>
      </c>
      <c r="F437" t="s">
        <v>18</v>
      </c>
      <c r="G437" t="s">
        <v>76</v>
      </c>
      <c r="H437">
        <v>15</v>
      </c>
      <c r="I437" s="3">
        <v>2500</v>
      </c>
      <c r="J437" s="3">
        <v>3600</v>
      </c>
      <c r="K437" s="3">
        <v>54000</v>
      </c>
      <c r="L437" s="3">
        <v>37500</v>
      </c>
      <c r="M437" s="3">
        <v>16500</v>
      </c>
      <c r="N437" s="5">
        <v>0.30555555555555558</v>
      </c>
    </row>
    <row r="438" spans="1:14" x14ac:dyDescent="0.3">
      <c r="A438" t="s">
        <v>620</v>
      </c>
      <c r="B438" s="2">
        <v>45747</v>
      </c>
      <c r="C438" t="s">
        <v>498</v>
      </c>
      <c r="D438" t="s">
        <v>16</v>
      </c>
      <c r="E438" t="s">
        <v>28</v>
      </c>
      <c r="F438" t="s">
        <v>18</v>
      </c>
      <c r="G438" t="s">
        <v>19</v>
      </c>
      <c r="H438">
        <v>13</v>
      </c>
      <c r="I438" s="3">
        <v>1800</v>
      </c>
      <c r="J438" s="3">
        <v>2600</v>
      </c>
      <c r="K438" s="3">
        <v>33800</v>
      </c>
      <c r="L438" s="3">
        <v>23400</v>
      </c>
      <c r="M438" s="3">
        <v>10400</v>
      </c>
      <c r="N438" s="5">
        <v>0.30769230769230771</v>
      </c>
    </row>
    <row r="439" spans="1:14" x14ac:dyDescent="0.3">
      <c r="A439" t="s">
        <v>621</v>
      </c>
      <c r="B439" s="2">
        <v>45908</v>
      </c>
      <c r="C439" t="s">
        <v>191</v>
      </c>
      <c r="D439" t="s">
        <v>40</v>
      </c>
      <c r="E439" t="s">
        <v>23</v>
      </c>
      <c r="F439" t="s">
        <v>47</v>
      </c>
      <c r="G439" t="s">
        <v>48</v>
      </c>
      <c r="H439">
        <v>14</v>
      </c>
      <c r="I439" s="3">
        <v>2800</v>
      </c>
      <c r="J439" s="3">
        <v>4200</v>
      </c>
      <c r="K439" s="3">
        <v>58800</v>
      </c>
      <c r="L439" s="3">
        <v>39200</v>
      </c>
      <c r="M439" s="3">
        <v>19600</v>
      </c>
      <c r="N439" s="5">
        <v>0.33333333333333331</v>
      </c>
    </row>
    <row r="440" spans="1:14" x14ac:dyDescent="0.3">
      <c r="A440" t="s">
        <v>622</v>
      </c>
      <c r="B440" s="2">
        <v>45665</v>
      </c>
      <c r="C440" t="s">
        <v>367</v>
      </c>
      <c r="D440" t="s">
        <v>22</v>
      </c>
      <c r="E440" t="s">
        <v>17</v>
      </c>
      <c r="F440" t="s">
        <v>24</v>
      </c>
      <c r="G440" t="s">
        <v>25</v>
      </c>
      <c r="H440">
        <v>12</v>
      </c>
      <c r="I440" s="3">
        <v>15000</v>
      </c>
      <c r="J440" s="3">
        <v>19500</v>
      </c>
      <c r="K440" s="3">
        <v>234000</v>
      </c>
      <c r="L440" s="3">
        <v>180000</v>
      </c>
      <c r="M440" s="3">
        <v>54000</v>
      </c>
      <c r="N440" s="5">
        <v>0.23076923076923081</v>
      </c>
    </row>
    <row r="441" spans="1:14" x14ac:dyDescent="0.3">
      <c r="A441" t="s">
        <v>623</v>
      </c>
      <c r="B441" s="2">
        <v>45921</v>
      </c>
      <c r="C441" t="s">
        <v>44</v>
      </c>
      <c r="D441" t="s">
        <v>35</v>
      </c>
      <c r="E441" t="s">
        <v>28</v>
      </c>
      <c r="F441" t="s">
        <v>24</v>
      </c>
      <c r="G441" t="s">
        <v>25</v>
      </c>
      <c r="H441">
        <v>7</v>
      </c>
      <c r="I441" s="3">
        <v>15000</v>
      </c>
      <c r="J441" s="3">
        <v>19500</v>
      </c>
      <c r="K441" s="3">
        <v>136500</v>
      </c>
      <c r="L441" s="3">
        <v>105000</v>
      </c>
      <c r="M441" s="3">
        <v>31500</v>
      </c>
      <c r="N441" s="5">
        <v>0.23076923076923081</v>
      </c>
    </row>
    <row r="442" spans="1:14" x14ac:dyDescent="0.3">
      <c r="A442" t="s">
        <v>624</v>
      </c>
      <c r="B442" s="2">
        <v>45667</v>
      </c>
      <c r="C442" t="s">
        <v>78</v>
      </c>
      <c r="D442" t="s">
        <v>16</v>
      </c>
      <c r="E442" t="s">
        <v>36</v>
      </c>
      <c r="F442" t="s">
        <v>47</v>
      </c>
      <c r="G442" t="s">
        <v>48</v>
      </c>
      <c r="H442">
        <v>14</v>
      </c>
      <c r="I442" s="3">
        <v>2800</v>
      </c>
      <c r="J442" s="3">
        <v>4200</v>
      </c>
      <c r="K442" s="3">
        <v>58800</v>
      </c>
      <c r="L442" s="3">
        <v>39200</v>
      </c>
      <c r="M442" s="3">
        <v>19600</v>
      </c>
      <c r="N442" s="5">
        <v>0.33333333333333331</v>
      </c>
    </row>
    <row r="443" spans="1:14" x14ac:dyDescent="0.3">
      <c r="A443" t="s">
        <v>625</v>
      </c>
      <c r="B443" s="2">
        <v>45904</v>
      </c>
      <c r="C443" t="s">
        <v>104</v>
      </c>
      <c r="D443" t="s">
        <v>46</v>
      </c>
      <c r="E443" t="s">
        <v>28</v>
      </c>
      <c r="F443" t="s">
        <v>24</v>
      </c>
      <c r="G443" t="s">
        <v>25</v>
      </c>
      <c r="H443">
        <v>16</v>
      </c>
      <c r="I443" s="3">
        <v>15000</v>
      </c>
      <c r="J443" s="3">
        <v>19500</v>
      </c>
      <c r="K443" s="3">
        <v>312000</v>
      </c>
      <c r="L443" s="3">
        <v>240000</v>
      </c>
      <c r="M443" s="3">
        <v>72000</v>
      </c>
      <c r="N443" s="5">
        <v>0.23076923076923081</v>
      </c>
    </row>
    <row r="444" spans="1:14" x14ac:dyDescent="0.3">
      <c r="A444" t="s">
        <v>626</v>
      </c>
      <c r="B444" s="2">
        <v>45824</v>
      </c>
      <c r="C444" t="s">
        <v>218</v>
      </c>
      <c r="D444" t="s">
        <v>46</v>
      </c>
      <c r="E444" t="s">
        <v>36</v>
      </c>
      <c r="F444" t="s">
        <v>41</v>
      </c>
      <c r="G444" t="s">
        <v>42</v>
      </c>
      <c r="H444">
        <v>20</v>
      </c>
      <c r="I444" s="3">
        <v>8500</v>
      </c>
      <c r="J444" s="3">
        <v>12000</v>
      </c>
      <c r="K444" s="3">
        <v>240000</v>
      </c>
      <c r="L444" s="3">
        <v>170000</v>
      </c>
      <c r="M444" s="3">
        <v>70000</v>
      </c>
      <c r="N444" s="5">
        <v>0.29166666666666669</v>
      </c>
    </row>
    <row r="445" spans="1:14" x14ac:dyDescent="0.3">
      <c r="A445" t="s">
        <v>627</v>
      </c>
      <c r="B445" s="2">
        <v>45793</v>
      </c>
      <c r="C445" t="s">
        <v>146</v>
      </c>
      <c r="D445" t="s">
        <v>16</v>
      </c>
      <c r="E445" t="s">
        <v>36</v>
      </c>
      <c r="F445" t="s">
        <v>24</v>
      </c>
      <c r="G445" t="s">
        <v>25</v>
      </c>
      <c r="H445">
        <v>4</v>
      </c>
      <c r="I445" s="3">
        <v>15000</v>
      </c>
      <c r="J445" s="3">
        <v>19500</v>
      </c>
      <c r="K445" s="3">
        <v>78000</v>
      </c>
      <c r="L445" s="3">
        <v>60000</v>
      </c>
      <c r="M445" s="3">
        <v>18000</v>
      </c>
      <c r="N445" s="5">
        <v>0.23076923076923081</v>
      </c>
    </row>
    <row r="446" spans="1:14" x14ac:dyDescent="0.3">
      <c r="A446" t="s">
        <v>628</v>
      </c>
      <c r="B446" s="2">
        <v>45658</v>
      </c>
      <c r="C446" t="s">
        <v>78</v>
      </c>
      <c r="D446" t="s">
        <v>22</v>
      </c>
      <c r="E446" t="s">
        <v>17</v>
      </c>
      <c r="F446" t="s">
        <v>47</v>
      </c>
      <c r="G446" t="s">
        <v>48</v>
      </c>
      <c r="H446">
        <v>6</v>
      </c>
      <c r="I446" s="3">
        <v>2800</v>
      </c>
      <c r="J446" s="3">
        <v>4200</v>
      </c>
      <c r="K446" s="3">
        <v>25200</v>
      </c>
      <c r="L446" s="3">
        <v>16800</v>
      </c>
      <c r="M446" s="3">
        <v>8400</v>
      </c>
      <c r="N446" s="5">
        <v>0.33333333333333331</v>
      </c>
    </row>
    <row r="447" spans="1:14" x14ac:dyDescent="0.3">
      <c r="A447" t="s">
        <v>629</v>
      </c>
      <c r="B447" s="2">
        <v>45738</v>
      </c>
      <c r="C447" t="s">
        <v>410</v>
      </c>
      <c r="D447" t="s">
        <v>35</v>
      </c>
      <c r="E447" t="s">
        <v>36</v>
      </c>
      <c r="F447" t="s">
        <v>18</v>
      </c>
      <c r="G447" t="s">
        <v>76</v>
      </c>
      <c r="H447">
        <v>12</v>
      </c>
      <c r="I447" s="3">
        <v>2500</v>
      </c>
      <c r="J447" s="3">
        <v>3600</v>
      </c>
      <c r="K447" s="3">
        <v>43200</v>
      </c>
      <c r="L447" s="3">
        <v>30000</v>
      </c>
      <c r="M447" s="3">
        <v>13200</v>
      </c>
      <c r="N447" s="5">
        <v>0.30555555555555558</v>
      </c>
    </row>
    <row r="448" spans="1:14" x14ac:dyDescent="0.3">
      <c r="A448" t="s">
        <v>630</v>
      </c>
      <c r="B448" s="2">
        <v>45743</v>
      </c>
      <c r="C448" t="s">
        <v>223</v>
      </c>
      <c r="D448" t="s">
        <v>22</v>
      </c>
      <c r="E448" t="s">
        <v>28</v>
      </c>
      <c r="F448" t="s">
        <v>41</v>
      </c>
      <c r="G448" t="s">
        <v>42</v>
      </c>
      <c r="H448">
        <v>19</v>
      </c>
      <c r="I448" s="3">
        <v>8500</v>
      </c>
      <c r="J448" s="3">
        <v>12000</v>
      </c>
      <c r="K448" s="3">
        <v>228000</v>
      </c>
      <c r="L448" s="3">
        <v>161500</v>
      </c>
      <c r="M448" s="3">
        <v>66500</v>
      </c>
      <c r="N448" s="5">
        <v>0.29166666666666669</v>
      </c>
    </row>
    <row r="449" spans="1:14" x14ac:dyDescent="0.3">
      <c r="A449" t="s">
        <v>631</v>
      </c>
      <c r="B449" s="2">
        <v>45705</v>
      </c>
      <c r="C449" t="s">
        <v>159</v>
      </c>
      <c r="D449" t="s">
        <v>22</v>
      </c>
      <c r="E449" t="s">
        <v>28</v>
      </c>
      <c r="F449" t="s">
        <v>41</v>
      </c>
      <c r="G449" t="s">
        <v>42</v>
      </c>
      <c r="H449">
        <v>3</v>
      </c>
      <c r="I449" s="3">
        <v>8500</v>
      </c>
      <c r="J449" s="3">
        <v>12000</v>
      </c>
      <c r="K449" s="3">
        <v>36000</v>
      </c>
      <c r="L449" s="3">
        <v>25500</v>
      </c>
      <c r="M449" s="3">
        <v>10500</v>
      </c>
      <c r="N449" s="5">
        <v>0.29166666666666669</v>
      </c>
    </row>
    <row r="450" spans="1:14" x14ac:dyDescent="0.3">
      <c r="A450" t="s">
        <v>632</v>
      </c>
      <c r="B450" s="2">
        <v>46020</v>
      </c>
      <c r="C450" t="s">
        <v>21</v>
      </c>
      <c r="D450" t="s">
        <v>46</v>
      </c>
      <c r="E450" t="s">
        <v>32</v>
      </c>
      <c r="F450" t="s">
        <v>18</v>
      </c>
      <c r="G450" t="s">
        <v>19</v>
      </c>
      <c r="H450">
        <v>20</v>
      </c>
      <c r="I450" s="3">
        <v>1800</v>
      </c>
      <c r="J450" s="3">
        <v>2600</v>
      </c>
      <c r="K450" s="3">
        <v>52000</v>
      </c>
      <c r="L450" s="3">
        <v>36000</v>
      </c>
      <c r="M450" s="3">
        <v>16000</v>
      </c>
      <c r="N450" s="5">
        <v>0.30769230769230771</v>
      </c>
    </row>
    <row r="451" spans="1:14" x14ac:dyDescent="0.3">
      <c r="A451" t="s">
        <v>633</v>
      </c>
      <c r="B451" s="2">
        <v>45958</v>
      </c>
      <c r="C451" t="s">
        <v>149</v>
      </c>
      <c r="D451" t="s">
        <v>22</v>
      </c>
      <c r="E451" t="s">
        <v>32</v>
      </c>
      <c r="F451" t="s">
        <v>18</v>
      </c>
      <c r="G451" t="s">
        <v>76</v>
      </c>
      <c r="H451">
        <v>12</v>
      </c>
      <c r="I451" s="3">
        <v>2500</v>
      </c>
      <c r="J451" s="3">
        <v>3600</v>
      </c>
      <c r="K451" s="3">
        <v>43200</v>
      </c>
      <c r="L451" s="3">
        <v>30000</v>
      </c>
      <c r="M451" s="3">
        <v>13200</v>
      </c>
      <c r="N451" s="5">
        <v>0.30555555555555558</v>
      </c>
    </row>
    <row r="452" spans="1:14" x14ac:dyDescent="0.3">
      <c r="A452" t="s">
        <v>634</v>
      </c>
      <c r="B452" s="2">
        <v>45659</v>
      </c>
      <c r="C452" t="s">
        <v>140</v>
      </c>
      <c r="D452" t="s">
        <v>40</v>
      </c>
      <c r="E452" t="s">
        <v>28</v>
      </c>
      <c r="F452" t="s">
        <v>18</v>
      </c>
      <c r="G452" t="s">
        <v>60</v>
      </c>
      <c r="H452">
        <v>11</v>
      </c>
      <c r="I452" s="3">
        <v>1800</v>
      </c>
      <c r="J452" s="3">
        <v>2800</v>
      </c>
      <c r="K452" s="3">
        <v>30800</v>
      </c>
      <c r="L452" s="3">
        <v>19800</v>
      </c>
      <c r="M452" s="3">
        <v>11000</v>
      </c>
      <c r="N452" s="5">
        <v>0.35714285714285721</v>
      </c>
    </row>
    <row r="453" spans="1:14" x14ac:dyDescent="0.3">
      <c r="A453" t="s">
        <v>635</v>
      </c>
      <c r="B453" s="2">
        <v>45831</v>
      </c>
      <c r="C453" t="s">
        <v>182</v>
      </c>
      <c r="D453" t="s">
        <v>16</v>
      </c>
      <c r="E453" t="s">
        <v>55</v>
      </c>
      <c r="F453" t="s">
        <v>18</v>
      </c>
      <c r="G453" t="s">
        <v>37</v>
      </c>
      <c r="H453">
        <v>16</v>
      </c>
      <c r="I453" s="3">
        <v>400</v>
      </c>
      <c r="J453" s="3">
        <v>650</v>
      </c>
      <c r="K453" s="3">
        <v>10400</v>
      </c>
      <c r="L453" s="3">
        <v>6400</v>
      </c>
      <c r="M453" s="3">
        <v>4000</v>
      </c>
      <c r="N453" s="5">
        <v>0.38461538461538458</v>
      </c>
    </row>
    <row r="454" spans="1:14" x14ac:dyDescent="0.3">
      <c r="A454" t="s">
        <v>636</v>
      </c>
      <c r="B454" s="2">
        <v>46008</v>
      </c>
      <c r="C454" t="s">
        <v>545</v>
      </c>
      <c r="D454" t="s">
        <v>35</v>
      </c>
      <c r="E454" t="s">
        <v>55</v>
      </c>
      <c r="F454" t="s">
        <v>41</v>
      </c>
      <c r="G454" t="s">
        <v>42</v>
      </c>
      <c r="H454">
        <v>1</v>
      </c>
      <c r="I454" s="3">
        <v>8500</v>
      </c>
      <c r="J454" s="3">
        <v>12000</v>
      </c>
      <c r="K454" s="3">
        <v>12000</v>
      </c>
      <c r="L454" s="3">
        <v>8500</v>
      </c>
      <c r="M454" s="3">
        <v>3500</v>
      </c>
      <c r="N454" s="5">
        <v>0.29166666666666669</v>
      </c>
    </row>
    <row r="455" spans="1:14" x14ac:dyDescent="0.3">
      <c r="A455" t="s">
        <v>637</v>
      </c>
      <c r="B455" s="2">
        <v>45684</v>
      </c>
      <c r="C455" t="s">
        <v>472</v>
      </c>
      <c r="D455" t="s">
        <v>35</v>
      </c>
      <c r="E455" t="s">
        <v>32</v>
      </c>
      <c r="F455" t="s">
        <v>41</v>
      </c>
      <c r="G455" t="s">
        <v>42</v>
      </c>
      <c r="H455">
        <v>19</v>
      </c>
      <c r="I455" s="3">
        <v>8500</v>
      </c>
      <c r="J455" s="3">
        <v>12000</v>
      </c>
      <c r="K455" s="3">
        <v>228000</v>
      </c>
      <c r="L455" s="3">
        <v>161500</v>
      </c>
      <c r="M455" s="3">
        <v>66500</v>
      </c>
      <c r="N455" s="5">
        <v>0.29166666666666669</v>
      </c>
    </row>
    <row r="456" spans="1:14" x14ac:dyDescent="0.3">
      <c r="A456" t="s">
        <v>638</v>
      </c>
      <c r="B456" s="2">
        <v>45997</v>
      </c>
      <c r="C456" t="s">
        <v>128</v>
      </c>
      <c r="D456" t="s">
        <v>22</v>
      </c>
      <c r="E456" t="s">
        <v>17</v>
      </c>
      <c r="F456" t="s">
        <v>18</v>
      </c>
      <c r="G456" t="s">
        <v>19</v>
      </c>
      <c r="H456">
        <v>5</v>
      </c>
      <c r="I456" s="3">
        <v>1800</v>
      </c>
      <c r="J456" s="3">
        <v>2600</v>
      </c>
      <c r="K456" s="3">
        <v>13000</v>
      </c>
      <c r="L456" s="3">
        <v>9000</v>
      </c>
      <c r="M456" s="3">
        <v>4000</v>
      </c>
      <c r="N456" s="5">
        <v>0.30769230769230771</v>
      </c>
    </row>
    <row r="457" spans="1:14" x14ac:dyDescent="0.3">
      <c r="A457" t="s">
        <v>639</v>
      </c>
      <c r="B457" s="2">
        <v>45829</v>
      </c>
      <c r="C457" t="s">
        <v>238</v>
      </c>
      <c r="D457" t="s">
        <v>35</v>
      </c>
      <c r="E457" t="s">
        <v>17</v>
      </c>
      <c r="F457" t="s">
        <v>41</v>
      </c>
      <c r="G457" t="s">
        <v>42</v>
      </c>
      <c r="H457">
        <v>4</v>
      </c>
      <c r="I457" s="3">
        <v>8500</v>
      </c>
      <c r="J457" s="3">
        <v>12000</v>
      </c>
      <c r="K457" s="3">
        <v>48000</v>
      </c>
      <c r="L457" s="3">
        <v>34000</v>
      </c>
      <c r="M457" s="3">
        <v>14000</v>
      </c>
      <c r="N457" s="5">
        <v>0.29166666666666669</v>
      </c>
    </row>
    <row r="458" spans="1:14" x14ac:dyDescent="0.3">
      <c r="A458" t="s">
        <v>640</v>
      </c>
      <c r="B458" s="2">
        <v>45682</v>
      </c>
      <c r="C458" t="s">
        <v>303</v>
      </c>
      <c r="D458" t="s">
        <v>35</v>
      </c>
      <c r="E458" t="s">
        <v>28</v>
      </c>
      <c r="F458" t="s">
        <v>24</v>
      </c>
      <c r="G458" t="s">
        <v>25</v>
      </c>
      <c r="H458">
        <v>13</v>
      </c>
      <c r="I458" s="3">
        <v>15000</v>
      </c>
      <c r="J458" s="3">
        <v>19500</v>
      </c>
      <c r="K458" s="3">
        <v>253500</v>
      </c>
      <c r="L458" s="3">
        <v>195000</v>
      </c>
      <c r="M458" s="3">
        <v>58500</v>
      </c>
      <c r="N458" s="5">
        <v>0.23076923076923081</v>
      </c>
    </row>
    <row r="459" spans="1:14" x14ac:dyDescent="0.3">
      <c r="A459" t="s">
        <v>641</v>
      </c>
      <c r="B459" s="2">
        <v>45930</v>
      </c>
      <c r="C459" t="s">
        <v>276</v>
      </c>
      <c r="D459" t="s">
        <v>46</v>
      </c>
      <c r="E459" t="s">
        <v>28</v>
      </c>
      <c r="F459" t="s">
        <v>24</v>
      </c>
      <c r="G459" t="s">
        <v>63</v>
      </c>
      <c r="H459">
        <v>18</v>
      </c>
      <c r="I459" s="3">
        <v>42000</v>
      </c>
      <c r="J459" s="3">
        <v>55000</v>
      </c>
      <c r="K459" s="3">
        <v>990000</v>
      </c>
      <c r="L459" s="3">
        <v>756000</v>
      </c>
      <c r="M459" s="3">
        <v>234000</v>
      </c>
      <c r="N459" s="5">
        <v>0.23636363636363639</v>
      </c>
    </row>
    <row r="460" spans="1:14" x14ac:dyDescent="0.3">
      <c r="A460" t="s">
        <v>642</v>
      </c>
      <c r="B460" s="2">
        <v>45703</v>
      </c>
      <c r="C460" t="s">
        <v>643</v>
      </c>
      <c r="D460" t="s">
        <v>46</v>
      </c>
      <c r="E460" t="s">
        <v>36</v>
      </c>
      <c r="F460" t="s">
        <v>24</v>
      </c>
      <c r="G460" t="s">
        <v>29</v>
      </c>
      <c r="H460">
        <v>20</v>
      </c>
      <c r="I460" s="3">
        <v>12000</v>
      </c>
      <c r="J460" s="3">
        <v>16500</v>
      </c>
      <c r="K460" s="3">
        <v>330000</v>
      </c>
      <c r="L460" s="3">
        <v>240000</v>
      </c>
      <c r="M460" s="3">
        <v>90000</v>
      </c>
      <c r="N460" s="5">
        <v>0.27272727272727271</v>
      </c>
    </row>
    <row r="461" spans="1:14" x14ac:dyDescent="0.3">
      <c r="A461" t="s">
        <v>644</v>
      </c>
      <c r="B461" s="2">
        <v>45842</v>
      </c>
      <c r="C461" t="s">
        <v>221</v>
      </c>
      <c r="D461" t="s">
        <v>35</v>
      </c>
      <c r="E461" t="s">
        <v>23</v>
      </c>
      <c r="F461" t="s">
        <v>24</v>
      </c>
      <c r="G461" t="s">
        <v>63</v>
      </c>
      <c r="H461">
        <v>4</v>
      </c>
      <c r="I461" s="3">
        <v>42000</v>
      </c>
      <c r="J461" s="3">
        <v>55000</v>
      </c>
      <c r="K461" s="3">
        <v>220000</v>
      </c>
      <c r="L461" s="3">
        <v>168000</v>
      </c>
      <c r="M461" s="3">
        <v>52000</v>
      </c>
      <c r="N461" s="5">
        <v>0.23636363636363639</v>
      </c>
    </row>
    <row r="462" spans="1:14" x14ac:dyDescent="0.3">
      <c r="A462" t="s">
        <v>645</v>
      </c>
      <c r="B462" s="2">
        <v>45745</v>
      </c>
      <c r="C462" t="s">
        <v>599</v>
      </c>
      <c r="D462" t="s">
        <v>22</v>
      </c>
      <c r="E462" t="s">
        <v>32</v>
      </c>
      <c r="F462" t="s">
        <v>18</v>
      </c>
      <c r="G462" t="s">
        <v>76</v>
      </c>
      <c r="H462">
        <v>5</v>
      </c>
      <c r="I462" s="3">
        <v>2500</v>
      </c>
      <c r="J462" s="3">
        <v>3600</v>
      </c>
      <c r="K462" s="3">
        <v>18000</v>
      </c>
      <c r="L462" s="3">
        <v>12500</v>
      </c>
      <c r="M462" s="3">
        <v>5500</v>
      </c>
      <c r="N462" s="5">
        <v>0.30555555555555558</v>
      </c>
    </row>
    <row r="463" spans="1:14" x14ac:dyDescent="0.3">
      <c r="A463" t="s">
        <v>646</v>
      </c>
      <c r="B463" s="2">
        <v>45742</v>
      </c>
      <c r="C463" t="s">
        <v>412</v>
      </c>
      <c r="D463" t="s">
        <v>35</v>
      </c>
      <c r="E463" t="s">
        <v>32</v>
      </c>
      <c r="F463" t="s">
        <v>47</v>
      </c>
      <c r="G463" t="s">
        <v>48</v>
      </c>
      <c r="H463">
        <v>7</v>
      </c>
      <c r="I463" s="3">
        <v>2800</v>
      </c>
      <c r="J463" s="3">
        <v>4200</v>
      </c>
      <c r="K463" s="3">
        <v>29400</v>
      </c>
      <c r="L463" s="3">
        <v>19600</v>
      </c>
      <c r="M463" s="3">
        <v>9800</v>
      </c>
      <c r="N463" s="5">
        <v>0.33333333333333331</v>
      </c>
    </row>
    <row r="464" spans="1:14" x14ac:dyDescent="0.3">
      <c r="A464" t="s">
        <v>647</v>
      </c>
      <c r="B464" s="2">
        <v>45977</v>
      </c>
      <c r="C464" t="s">
        <v>59</v>
      </c>
      <c r="D464" t="s">
        <v>16</v>
      </c>
      <c r="E464" t="s">
        <v>23</v>
      </c>
      <c r="F464" t="s">
        <v>18</v>
      </c>
      <c r="G464" t="s">
        <v>37</v>
      </c>
      <c r="H464">
        <v>20</v>
      </c>
      <c r="I464" s="3">
        <v>400</v>
      </c>
      <c r="J464" s="3">
        <v>650</v>
      </c>
      <c r="K464" s="3">
        <v>13000</v>
      </c>
      <c r="L464" s="3">
        <v>8000</v>
      </c>
      <c r="M464" s="3">
        <v>5000</v>
      </c>
      <c r="N464" s="5">
        <v>0.38461538461538458</v>
      </c>
    </row>
    <row r="465" spans="1:14" x14ac:dyDescent="0.3">
      <c r="A465" t="s">
        <v>648</v>
      </c>
      <c r="B465" s="2">
        <v>45859</v>
      </c>
      <c r="C465" t="s">
        <v>123</v>
      </c>
      <c r="D465" t="s">
        <v>22</v>
      </c>
      <c r="E465" t="s">
        <v>17</v>
      </c>
      <c r="F465" t="s">
        <v>18</v>
      </c>
      <c r="G465" t="s">
        <v>76</v>
      </c>
      <c r="H465">
        <v>10</v>
      </c>
      <c r="I465" s="3">
        <v>2500</v>
      </c>
      <c r="J465" s="3">
        <v>3600</v>
      </c>
      <c r="K465" s="3">
        <v>36000</v>
      </c>
      <c r="L465" s="3">
        <v>25000</v>
      </c>
      <c r="M465" s="3">
        <v>11000</v>
      </c>
      <c r="N465" s="5">
        <v>0.30555555555555558</v>
      </c>
    </row>
    <row r="466" spans="1:14" x14ac:dyDescent="0.3">
      <c r="A466" t="s">
        <v>649</v>
      </c>
      <c r="B466" s="2">
        <v>45805</v>
      </c>
      <c r="C466" t="s">
        <v>578</v>
      </c>
      <c r="D466" t="s">
        <v>40</v>
      </c>
      <c r="E466" t="s">
        <v>23</v>
      </c>
      <c r="F466" t="s">
        <v>24</v>
      </c>
      <c r="G466" t="s">
        <v>25</v>
      </c>
      <c r="H466">
        <v>13</v>
      </c>
      <c r="I466" s="3">
        <v>15000</v>
      </c>
      <c r="J466" s="3">
        <v>19500</v>
      </c>
      <c r="K466" s="3">
        <v>253500</v>
      </c>
      <c r="L466" s="3">
        <v>195000</v>
      </c>
      <c r="M466" s="3">
        <v>58500</v>
      </c>
      <c r="N466" s="5">
        <v>0.23076923076923081</v>
      </c>
    </row>
    <row r="467" spans="1:14" x14ac:dyDescent="0.3">
      <c r="A467" t="s">
        <v>650</v>
      </c>
      <c r="B467" s="2">
        <v>45990</v>
      </c>
      <c r="C467" t="s">
        <v>305</v>
      </c>
      <c r="D467" t="s">
        <v>46</v>
      </c>
      <c r="E467" t="s">
        <v>32</v>
      </c>
      <c r="F467" t="s">
        <v>18</v>
      </c>
      <c r="G467" t="s">
        <v>19</v>
      </c>
      <c r="H467">
        <v>17</v>
      </c>
      <c r="I467" s="3">
        <v>1800</v>
      </c>
      <c r="J467" s="3">
        <v>2600</v>
      </c>
      <c r="K467" s="3">
        <v>44200</v>
      </c>
      <c r="L467" s="3">
        <v>30600</v>
      </c>
      <c r="M467" s="3">
        <v>13600</v>
      </c>
      <c r="N467" s="5">
        <v>0.30769230769230771</v>
      </c>
    </row>
    <row r="468" spans="1:14" x14ac:dyDescent="0.3">
      <c r="A468" t="s">
        <v>651</v>
      </c>
      <c r="B468" s="2">
        <v>46001</v>
      </c>
      <c r="C468" t="s">
        <v>125</v>
      </c>
      <c r="D468" t="s">
        <v>35</v>
      </c>
      <c r="E468" t="s">
        <v>32</v>
      </c>
      <c r="F468" t="s">
        <v>18</v>
      </c>
      <c r="G468" t="s">
        <v>19</v>
      </c>
      <c r="H468">
        <v>19</v>
      </c>
      <c r="I468" s="3">
        <v>1800</v>
      </c>
      <c r="J468" s="3">
        <v>2600</v>
      </c>
      <c r="K468" s="3">
        <v>49400</v>
      </c>
      <c r="L468" s="3">
        <v>34200</v>
      </c>
      <c r="M468" s="3">
        <v>15200</v>
      </c>
      <c r="N468" s="5">
        <v>0.30769230769230771</v>
      </c>
    </row>
    <row r="469" spans="1:14" x14ac:dyDescent="0.3">
      <c r="A469" t="s">
        <v>652</v>
      </c>
      <c r="B469" s="2">
        <v>45668</v>
      </c>
      <c r="C469" t="s">
        <v>142</v>
      </c>
      <c r="D469" t="s">
        <v>35</v>
      </c>
      <c r="E469" t="s">
        <v>23</v>
      </c>
      <c r="F469" t="s">
        <v>18</v>
      </c>
      <c r="G469" t="s">
        <v>76</v>
      </c>
      <c r="H469">
        <v>7</v>
      </c>
      <c r="I469" s="3">
        <v>2500</v>
      </c>
      <c r="J469" s="3">
        <v>3600</v>
      </c>
      <c r="K469" s="3">
        <v>25200</v>
      </c>
      <c r="L469" s="3">
        <v>17500</v>
      </c>
      <c r="M469" s="3">
        <v>7700</v>
      </c>
      <c r="N469" s="5">
        <v>0.30555555555555558</v>
      </c>
    </row>
    <row r="470" spans="1:14" x14ac:dyDescent="0.3">
      <c r="A470" t="s">
        <v>653</v>
      </c>
      <c r="B470" s="2">
        <v>45874</v>
      </c>
      <c r="C470" t="s">
        <v>140</v>
      </c>
      <c r="D470" t="s">
        <v>40</v>
      </c>
      <c r="E470" t="s">
        <v>23</v>
      </c>
      <c r="F470" t="s">
        <v>18</v>
      </c>
      <c r="G470" t="s">
        <v>37</v>
      </c>
      <c r="H470">
        <v>13</v>
      </c>
      <c r="I470" s="3">
        <v>400</v>
      </c>
      <c r="J470" s="3">
        <v>650</v>
      </c>
      <c r="K470" s="3">
        <v>8450</v>
      </c>
      <c r="L470" s="3">
        <v>5200</v>
      </c>
      <c r="M470" s="3">
        <v>3250</v>
      </c>
      <c r="N470" s="5">
        <v>0.38461538461538458</v>
      </c>
    </row>
    <row r="471" spans="1:14" x14ac:dyDescent="0.3">
      <c r="A471" t="s">
        <v>654</v>
      </c>
      <c r="B471" s="2">
        <v>45801</v>
      </c>
      <c r="C471" t="s">
        <v>142</v>
      </c>
      <c r="D471" t="s">
        <v>35</v>
      </c>
      <c r="E471" t="s">
        <v>28</v>
      </c>
      <c r="F471" t="s">
        <v>24</v>
      </c>
      <c r="G471" t="s">
        <v>63</v>
      </c>
      <c r="H471">
        <v>13</v>
      </c>
      <c r="I471" s="3">
        <v>42000</v>
      </c>
      <c r="J471" s="3">
        <v>55000</v>
      </c>
      <c r="K471" s="3">
        <v>715000</v>
      </c>
      <c r="L471" s="3">
        <v>546000</v>
      </c>
      <c r="M471" s="3">
        <v>169000</v>
      </c>
      <c r="N471" s="5">
        <v>0.23636363636363639</v>
      </c>
    </row>
    <row r="472" spans="1:14" x14ac:dyDescent="0.3">
      <c r="A472" t="s">
        <v>655</v>
      </c>
      <c r="B472" s="2">
        <v>45953</v>
      </c>
      <c r="C472" t="s">
        <v>359</v>
      </c>
      <c r="D472" t="s">
        <v>46</v>
      </c>
      <c r="E472" t="s">
        <v>28</v>
      </c>
      <c r="F472" t="s">
        <v>18</v>
      </c>
      <c r="G472" t="s">
        <v>72</v>
      </c>
      <c r="H472">
        <v>2</v>
      </c>
      <c r="I472" s="3">
        <v>900</v>
      </c>
      <c r="J472" s="3">
        <v>1500</v>
      </c>
      <c r="K472" s="3">
        <v>3000</v>
      </c>
      <c r="L472" s="3">
        <v>1800</v>
      </c>
      <c r="M472" s="3">
        <v>1200</v>
      </c>
      <c r="N472" s="5">
        <v>0.4</v>
      </c>
    </row>
    <row r="473" spans="1:14" x14ac:dyDescent="0.3">
      <c r="A473" t="s">
        <v>656</v>
      </c>
      <c r="B473" s="2">
        <v>45829</v>
      </c>
      <c r="C473" t="s">
        <v>104</v>
      </c>
      <c r="D473" t="s">
        <v>16</v>
      </c>
      <c r="E473" t="s">
        <v>36</v>
      </c>
      <c r="F473" t="s">
        <v>18</v>
      </c>
      <c r="G473" t="s">
        <v>60</v>
      </c>
      <c r="H473">
        <v>20</v>
      </c>
      <c r="I473" s="3">
        <v>1800</v>
      </c>
      <c r="J473" s="3">
        <v>2800</v>
      </c>
      <c r="K473" s="3">
        <v>56000</v>
      </c>
      <c r="L473" s="3">
        <v>36000</v>
      </c>
      <c r="M473" s="3">
        <v>20000</v>
      </c>
      <c r="N473" s="5">
        <v>0.35714285714285721</v>
      </c>
    </row>
    <row r="474" spans="1:14" x14ac:dyDescent="0.3">
      <c r="A474" t="s">
        <v>657</v>
      </c>
      <c r="B474" s="2">
        <v>45786</v>
      </c>
      <c r="C474" t="s">
        <v>200</v>
      </c>
      <c r="D474" t="s">
        <v>22</v>
      </c>
      <c r="E474" t="s">
        <v>17</v>
      </c>
      <c r="F474" t="s">
        <v>18</v>
      </c>
      <c r="G474" t="s">
        <v>37</v>
      </c>
      <c r="H474">
        <v>10</v>
      </c>
      <c r="I474" s="3">
        <v>400</v>
      </c>
      <c r="J474" s="3">
        <v>650</v>
      </c>
      <c r="K474" s="3">
        <v>6500</v>
      </c>
      <c r="L474" s="3">
        <v>4000</v>
      </c>
      <c r="M474" s="3">
        <v>2500</v>
      </c>
      <c r="N474" s="5">
        <v>0.38461538461538458</v>
      </c>
    </row>
    <row r="475" spans="1:14" x14ac:dyDescent="0.3">
      <c r="A475" t="s">
        <v>658</v>
      </c>
      <c r="B475" s="2">
        <v>45692</v>
      </c>
      <c r="C475" t="s">
        <v>659</v>
      </c>
      <c r="D475" t="s">
        <v>40</v>
      </c>
      <c r="E475" t="s">
        <v>17</v>
      </c>
      <c r="F475" t="s">
        <v>18</v>
      </c>
      <c r="G475" t="s">
        <v>19</v>
      </c>
      <c r="H475">
        <v>9</v>
      </c>
      <c r="I475" s="3">
        <v>1800</v>
      </c>
      <c r="J475" s="3">
        <v>2600</v>
      </c>
      <c r="K475" s="3">
        <v>23400</v>
      </c>
      <c r="L475" s="3">
        <v>16200</v>
      </c>
      <c r="M475" s="3">
        <v>7200</v>
      </c>
      <c r="N475" s="5">
        <v>0.30769230769230771</v>
      </c>
    </row>
    <row r="476" spans="1:14" x14ac:dyDescent="0.3">
      <c r="A476" t="s">
        <v>660</v>
      </c>
      <c r="B476" s="2">
        <v>45805</v>
      </c>
      <c r="C476" t="s">
        <v>218</v>
      </c>
      <c r="D476" t="s">
        <v>35</v>
      </c>
      <c r="E476" t="s">
        <v>23</v>
      </c>
      <c r="F476" t="s">
        <v>41</v>
      </c>
      <c r="G476" t="s">
        <v>42</v>
      </c>
      <c r="H476">
        <v>14</v>
      </c>
      <c r="I476" s="3">
        <v>8500</v>
      </c>
      <c r="J476" s="3">
        <v>12000</v>
      </c>
      <c r="K476" s="3">
        <v>168000</v>
      </c>
      <c r="L476" s="3">
        <v>119000</v>
      </c>
      <c r="M476" s="3">
        <v>49000</v>
      </c>
      <c r="N476" s="5">
        <v>0.29166666666666669</v>
      </c>
    </row>
    <row r="477" spans="1:14" x14ac:dyDescent="0.3">
      <c r="A477" t="s">
        <v>661</v>
      </c>
      <c r="B477" s="2">
        <v>45728</v>
      </c>
      <c r="C477" t="s">
        <v>108</v>
      </c>
      <c r="D477" t="s">
        <v>40</v>
      </c>
      <c r="E477" t="s">
        <v>55</v>
      </c>
      <c r="F477" t="s">
        <v>18</v>
      </c>
      <c r="G477" t="s">
        <v>72</v>
      </c>
      <c r="H477">
        <v>20</v>
      </c>
      <c r="I477" s="3">
        <v>900</v>
      </c>
      <c r="J477" s="3">
        <v>1500</v>
      </c>
      <c r="K477" s="3">
        <v>30000</v>
      </c>
      <c r="L477" s="3">
        <v>18000</v>
      </c>
      <c r="M477" s="3">
        <v>12000</v>
      </c>
      <c r="N477" s="5">
        <v>0.4</v>
      </c>
    </row>
    <row r="478" spans="1:14" x14ac:dyDescent="0.3">
      <c r="A478" t="s">
        <v>662</v>
      </c>
      <c r="B478" s="2">
        <v>45950</v>
      </c>
      <c r="C478" t="s">
        <v>385</v>
      </c>
      <c r="D478" t="s">
        <v>35</v>
      </c>
      <c r="E478" t="s">
        <v>55</v>
      </c>
      <c r="F478" t="s">
        <v>18</v>
      </c>
      <c r="G478" t="s">
        <v>60</v>
      </c>
      <c r="H478">
        <v>17</v>
      </c>
      <c r="I478" s="3">
        <v>1800</v>
      </c>
      <c r="J478" s="3">
        <v>2800</v>
      </c>
      <c r="K478" s="3">
        <v>47600</v>
      </c>
      <c r="L478" s="3">
        <v>30600</v>
      </c>
      <c r="M478" s="3">
        <v>17000</v>
      </c>
      <c r="N478" s="5">
        <v>0.35714285714285721</v>
      </c>
    </row>
    <row r="479" spans="1:14" x14ac:dyDescent="0.3">
      <c r="A479" t="s">
        <v>663</v>
      </c>
      <c r="B479" s="2">
        <v>45863</v>
      </c>
      <c r="C479" t="s">
        <v>238</v>
      </c>
      <c r="D479" t="s">
        <v>22</v>
      </c>
      <c r="E479" t="s">
        <v>28</v>
      </c>
      <c r="F479" t="s">
        <v>18</v>
      </c>
      <c r="G479" t="s">
        <v>19</v>
      </c>
      <c r="H479">
        <v>3</v>
      </c>
      <c r="I479" s="3">
        <v>1800</v>
      </c>
      <c r="J479" s="3">
        <v>2600</v>
      </c>
      <c r="K479" s="3">
        <v>7800</v>
      </c>
      <c r="L479" s="3">
        <v>5400</v>
      </c>
      <c r="M479" s="3">
        <v>2400</v>
      </c>
      <c r="N479" s="5">
        <v>0.30769230769230771</v>
      </c>
    </row>
    <row r="480" spans="1:14" x14ac:dyDescent="0.3">
      <c r="A480" t="s">
        <v>664</v>
      </c>
      <c r="B480" s="2">
        <v>45836</v>
      </c>
      <c r="C480" t="s">
        <v>385</v>
      </c>
      <c r="D480" t="s">
        <v>22</v>
      </c>
      <c r="E480" t="s">
        <v>17</v>
      </c>
      <c r="F480" t="s">
        <v>18</v>
      </c>
      <c r="G480" t="s">
        <v>60</v>
      </c>
      <c r="H480">
        <v>5</v>
      </c>
      <c r="I480" s="3">
        <v>1800</v>
      </c>
      <c r="J480" s="3">
        <v>2800</v>
      </c>
      <c r="K480" s="3">
        <v>14000</v>
      </c>
      <c r="L480" s="3">
        <v>9000</v>
      </c>
      <c r="M480" s="3">
        <v>5000</v>
      </c>
      <c r="N480" s="5">
        <v>0.35714285714285721</v>
      </c>
    </row>
    <row r="481" spans="1:14" x14ac:dyDescent="0.3">
      <c r="A481" t="s">
        <v>665</v>
      </c>
      <c r="B481" s="2">
        <v>45923</v>
      </c>
      <c r="C481" t="s">
        <v>270</v>
      </c>
      <c r="D481" t="s">
        <v>35</v>
      </c>
      <c r="E481" t="s">
        <v>32</v>
      </c>
      <c r="F481" t="s">
        <v>24</v>
      </c>
      <c r="G481" t="s">
        <v>25</v>
      </c>
      <c r="H481">
        <v>16</v>
      </c>
      <c r="I481" s="3">
        <v>15000</v>
      </c>
      <c r="J481" s="3">
        <v>19500</v>
      </c>
      <c r="K481" s="3">
        <v>312000</v>
      </c>
      <c r="L481" s="3">
        <v>240000</v>
      </c>
      <c r="M481" s="3">
        <v>72000</v>
      </c>
      <c r="N481" s="5">
        <v>0.23076923076923081</v>
      </c>
    </row>
    <row r="482" spans="1:14" x14ac:dyDescent="0.3">
      <c r="A482" t="s">
        <v>666</v>
      </c>
      <c r="B482" s="2">
        <v>45794</v>
      </c>
      <c r="C482" t="s">
        <v>95</v>
      </c>
      <c r="D482" t="s">
        <v>22</v>
      </c>
      <c r="E482" t="s">
        <v>17</v>
      </c>
      <c r="F482" t="s">
        <v>24</v>
      </c>
      <c r="G482" t="s">
        <v>25</v>
      </c>
      <c r="H482">
        <v>4</v>
      </c>
      <c r="I482" s="3">
        <v>15000</v>
      </c>
      <c r="J482" s="3">
        <v>19500</v>
      </c>
      <c r="K482" s="3">
        <v>78000</v>
      </c>
      <c r="L482" s="3">
        <v>60000</v>
      </c>
      <c r="M482" s="3">
        <v>18000</v>
      </c>
      <c r="N482" s="5">
        <v>0.23076923076923081</v>
      </c>
    </row>
    <row r="483" spans="1:14" x14ac:dyDescent="0.3">
      <c r="A483" t="s">
        <v>667</v>
      </c>
      <c r="B483" s="2">
        <v>46002</v>
      </c>
      <c r="C483" t="s">
        <v>493</v>
      </c>
      <c r="D483" t="s">
        <v>35</v>
      </c>
      <c r="E483" t="s">
        <v>55</v>
      </c>
      <c r="F483" t="s">
        <v>41</v>
      </c>
      <c r="G483" t="s">
        <v>42</v>
      </c>
      <c r="H483">
        <v>20</v>
      </c>
      <c r="I483" s="3">
        <v>8500</v>
      </c>
      <c r="J483" s="3">
        <v>12000</v>
      </c>
      <c r="K483" s="3">
        <v>240000</v>
      </c>
      <c r="L483" s="3">
        <v>170000</v>
      </c>
      <c r="M483" s="3">
        <v>70000</v>
      </c>
      <c r="N483" s="5">
        <v>0.29166666666666669</v>
      </c>
    </row>
    <row r="484" spans="1:14" x14ac:dyDescent="0.3">
      <c r="A484" t="s">
        <v>668</v>
      </c>
      <c r="B484" s="2">
        <v>46013</v>
      </c>
      <c r="C484" t="s">
        <v>412</v>
      </c>
      <c r="D484" t="s">
        <v>40</v>
      </c>
      <c r="E484" t="s">
        <v>55</v>
      </c>
      <c r="F484" t="s">
        <v>18</v>
      </c>
      <c r="G484" t="s">
        <v>76</v>
      </c>
      <c r="H484">
        <v>4</v>
      </c>
      <c r="I484" s="3">
        <v>2500</v>
      </c>
      <c r="J484" s="3">
        <v>3600</v>
      </c>
      <c r="K484" s="3">
        <v>14400</v>
      </c>
      <c r="L484" s="3">
        <v>10000</v>
      </c>
      <c r="M484" s="3">
        <v>4400</v>
      </c>
      <c r="N484" s="5">
        <v>0.30555555555555558</v>
      </c>
    </row>
    <row r="485" spans="1:14" x14ac:dyDescent="0.3">
      <c r="A485" t="s">
        <v>669</v>
      </c>
      <c r="B485" s="2">
        <v>45756</v>
      </c>
      <c r="C485" t="s">
        <v>493</v>
      </c>
      <c r="D485" t="s">
        <v>40</v>
      </c>
      <c r="E485" t="s">
        <v>32</v>
      </c>
      <c r="F485" t="s">
        <v>18</v>
      </c>
      <c r="G485" t="s">
        <v>76</v>
      </c>
      <c r="H485">
        <v>9</v>
      </c>
      <c r="I485" s="3">
        <v>2500</v>
      </c>
      <c r="J485" s="3">
        <v>3600</v>
      </c>
      <c r="K485" s="3">
        <v>32400</v>
      </c>
      <c r="L485" s="3">
        <v>22500</v>
      </c>
      <c r="M485" s="3">
        <v>9900</v>
      </c>
      <c r="N485" s="5">
        <v>0.30555555555555558</v>
      </c>
    </row>
    <row r="486" spans="1:14" x14ac:dyDescent="0.3">
      <c r="A486" t="s">
        <v>670</v>
      </c>
      <c r="B486" s="2">
        <v>46013</v>
      </c>
      <c r="C486" t="s">
        <v>156</v>
      </c>
      <c r="D486" t="s">
        <v>16</v>
      </c>
      <c r="E486" t="s">
        <v>23</v>
      </c>
      <c r="F486" t="s">
        <v>24</v>
      </c>
      <c r="G486" t="s">
        <v>25</v>
      </c>
      <c r="H486">
        <v>5</v>
      </c>
      <c r="I486" s="3">
        <v>15000</v>
      </c>
      <c r="J486" s="3">
        <v>19500</v>
      </c>
      <c r="K486" s="3">
        <v>97500</v>
      </c>
      <c r="L486" s="3">
        <v>75000</v>
      </c>
      <c r="M486" s="3">
        <v>22500</v>
      </c>
      <c r="N486" s="5">
        <v>0.23076923076923081</v>
      </c>
    </row>
    <row r="487" spans="1:14" x14ac:dyDescent="0.3">
      <c r="A487" t="s">
        <v>671</v>
      </c>
      <c r="B487" s="2">
        <v>45889</v>
      </c>
      <c r="C487" t="s">
        <v>487</v>
      </c>
      <c r="D487" t="s">
        <v>35</v>
      </c>
      <c r="E487" t="s">
        <v>23</v>
      </c>
      <c r="F487" t="s">
        <v>18</v>
      </c>
      <c r="G487" t="s">
        <v>72</v>
      </c>
      <c r="H487">
        <v>6</v>
      </c>
      <c r="I487" s="3">
        <v>900</v>
      </c>
      <c r="J487" s="3">
        <v>1500</v>
      </c>
      <c r="K487" s="3">
        <v>9000</v>
      </c>
      <c r="L487" s="3">
        <v>5400</v>
      </c>
      <c r="M487" s="3">
        <v>3600</v>
      </c>
      <c r="N487" s="5">
        <v>0.4</v>
      </c>
    </row>
    <row r="488" spans="1:14" x14ac:dyDescent="0.3">
      <c r="A488" t="s">
        <v>672</v>
      </c>
      <c r="B488" s="2">
        <v>46019</v>
      </c>
      <c r="C488" t="s">
        <v>172</v>
      </c>
      <c r="D488" t="s">
        <v>22</v>
      </c>
      <c r="E488" t="s">
        <v>55</v>
      </c>
      <c r="F488" t="s">
        <v>18</v>
      </c>
      <c r="G488" t="s">
        <v>76</v>
      </c>
      <c r="H488">
        <v>1</v>
      </c>
      <c r="I488" s="3">
        <v>2500</v>
      </c>
      <c r="J488" s="3">
        <v>3600</v>
      </c>
      <c r="K488" s="3">
        <v>3600</v>
      </c>
      <c r="L488" s="3">
        <v>2500</v>
      </c>
      <c r="M488" s="3">
        <v>1100</v>
      </c>
      <c r="N488" s="5">
        <v>0.30555555555555558</v>
      </c>
    </row>
    <row r="489" spans="1:14" x14ac:dyDescent="0.3">
      <c r="A489" t="s">
        <v>673</v>
      </c>
      <c r="B489" s="2">
        <v>46018</v>
      </c>
      <c r="C489" t="s">
        <v>223</v>
      </c>
      <c r="D489" t="s">
        <v>46</v>
      </c>
      <c r="E489" t="s">
        <v>23</v>
      </c>
      <c r="F489" t="s">
        <v>18</v>
      </c>
      <c r="G489" t="s">
        <v>37</v>
      </c>
      <c r="H489">
        <v>6</v>
      </c>
      <c r="I489" s="3">
        <v>400</v>
      </c>
      <c r="J489" s="3">
        <v>650</v>
      </c>
      <c r="K489" s="3">
        <v>3900</v>
      </c>
      <c r="L489" s="3">
        <v>2400</v>
      </c>
      <c r="M489" s="3">
        <v>1500</v>
      </c>
      <c r="N489" s="5">
        <v>0.38461538461538458</v>
      </c>
    </row>
    <row r="490" spans="1:14" x14ac:dyDescent="0.3">
      <c r="A490" t="s">
        <v>674</v>
      </c>
      <c r="B490" s="2">
        <v>45879</v>
      </c>
      <c r="C490" t="s">
        <v>78</v>
      </c>
      <c r="D490" t="s">
        <v>22</v>
      </c>
      <c r="E490" t="s">
        <v>55</v>
      </c>
      <c r="F490" t="s">
        <v>41</v>
      </c>
      <c r="G490" t="s">
        <v>42</v>
      </c>
      <c r="H490">
        <v>19</v>
      </c>
      <c r="I490" s="3">
        <v>8500</v>
      </c>
      <c r="J490" s="3">
        <v>12000</v>
      </c>
      <c r="K490" s="3">
        <v>228000</v>
      </c>
      <c r="L490" s="3">
        <v>161500</v>
      </c>
      <c r="M490" s="3">
        <v>66500</v>
      </c>
      <c r="N490" s="5">
        <v>0.29166666666666669</v>
      </c>
    </row>
    <row r="491" spans="1:14" x14ac:dyDescent="0.3">
      <c r="A491" t="s">
        <v>675</v>
      </c>
      <c r="B491" s="2">
        <v>45916</v>
      </c>
      <c r="C491" t="s">
        <v>133</v>
      </c>
      <c r="D491" t="s">
        <v>40</v>
      </c>
      <c r="E491" t="s">
        <v>55</v>
      </c>
      <c r="F491" t="s">
        <v>24</v>
      </c>
      <c r="G491" t="s">
        <v>63</v>
      </c>
      <c r="H491">
        <v>4</v>
      </c>
      <c r="I491" s="3">
        <v>42000</v>
      </c>
      <c r="J491" s="3">
        <v>55000</v>
      </c>
      <c r="K491" s="3">
        <v>220000</v>
      </c>
      <c r="L491" s="3">
        <v>168000</v>
      </c>
      <c r="M491" s="3">
        <v>52000</v>
      </c>
      <c r="N491" s="5">
        <v>0.23636363636363639</v>
      </c>
    </row>
    <row r="492" spans="1:14" x14ac:dyDescent="0.3">
      <c r="A492" t="s">
        <v>676</v>
      </c>
      <c r="B492" s="2">
        <v>45957</v>
      </c>
      <c r="C492" t="s">
        <v>233</v>
      </c>
      <c r="D492" t="s">
        <v>22</v>
      </c>
      <c r="E492" t="s">
        <v>28</v>
      </c>
      <c r="F492" t="s">
        <v>18</v>
      </c>
      <c r="G492" t="s">
        <v>72</v>
      </c>
      <c r="H492">
        <v>11</v>
      </c>
      <c r="I492" s="3">
        <v>900</v>
      </c>
      <c r="J492" s="3">
        <v>1500</v>
      </c>
      <c r="K492" s="3">
        <v>16500</v>
      </c>
      <c r="L492" s="3">
        <v>9900</v>
      </c>
      <c r="M492" s="3">
        <v>6600</v>
      </c>
      <c r="N492" s="5">
        <v>0.4</v>
      </c>
    </row>
    <row r="493" spans="1:14" x14ac:dyDescent="0.3">
      <c r="A493" t="s">
        <v>677</v>
      </c>
      <c r="B493" s="2">
        <v>45754</v>
      </c>
      <c r="C493" t="s">
        <v>552</v>
      </c>
      <c r="D493" t="s">
        <v>46</v>
      </c>
      <c r="E493" t="s">
        <v>23</v>
      </c>
      <c r="F493" t="s">
        <v>18</v>
      </c>
      <c r="G493" t="s">
        <v>72</v>
      </c>
      <c r="H493">
        <v>9</v>
      </c>
      <c r="I493" s="3">
        <v>900</v>
      </c>
      <c r="J493" s="3">
        <v>1500</v>
      </c>
      <c r="K493" s="3">
        <v>13500</v>
      </c>
      <c r="L493" s="3">
        <v>8100</v>
      </c>
      <c r="M493" s="3">
        <v>5400</v>
      </c>
      <c r="N493" s="5">
        <v>0.4</v>
      </c>
    </row>
    <row r="494" spans="1:14" x14ac:dyDescent="0.3">
      <c r="A494" t="s">
        <v>678</v>
      </c>
      <c r="B494" s="2">
        <v>45924</v>
      </c>
      <c r="C494" t="s">
        <v>71</v>
      </c>
      <c r="D494" t="s">
        <v>22</v>
      </c>
      <c r="E494" t="s">
        <v>32</v>
      </c>
      <c r="F494" t="s">
        <v>18</v>
      </c>
      <c r="G494" t="s">
        <v>76</v>
      </c>
      <c r="H494">
        <v>19</v>
      </c>
      <c r="I494" s="3">
        <v>2500</v>
      </c>
      <c r="J494" s="3">
        <v>3600</v>
      </c>
      <c r="K494" s="3">
        <v>68400</v>
      </c>
      <c r="L494" s="3">
        <v>47500</v>
      </c>
      <c r="M494" s="3">
        <v>20900</v>
      </c>
      <c r="N494" s="5">
        <v>0.30555555555555558</v>
      </c>
    </row>
    <row r="495" spans="1:14" x14ac:dyDescent="0.3">
      <c r="A495" t="s">
        <v>679</v>
      </c>
      <c r="B495" s="2">
        <v>45784</v>
      </c>
      <c r="C495" t="s">
        <v>21</v>
      </c>
      <c r="D495" t="s">
        <v>22</v>
      </c>
      <c r="E495" t="s">
        <v>23</v>
      </c>
      <c r="F495" t="s">
        <v>18</v>
      </c>
      <c r="G495" t="s">
        <v>76</v>
      </c>
      <c r="H495">
        <v>2</v>
      </c>
      <c r="I495" s="3">
        <v>2500</v>
      </c>
      <c r="J495" s="3">
        <v>3600</v>
      </c>
      <c r="K495" s="3">
        <v>7200</v>
      </c>
      <c r="L495" s="3">
        <v>5000</v>
      </c>
      <c r="M495" s="3">
        <v>2200</v>
      </c>
      <c r="N495" s="5">
        <v>0.30555555555555558</v>
      </c>
    </row>
    <row r="496" spans="1:14" x14ac:dyDescent="0.3">
      <c r="A496" t="s">
        <v>680</v>
      </c>
      <c r="B496" s="2">
        <v>45899</v>
      </c>
      <c r="C496" t="s">
        <v>59</v>
      </c>
      <c r="D496" t="s">
        <v>46</v>
      </c>
      <c r="E496" t="s">
        <v>17</v>
      </c>
      <c r="F496" t="s">
        <v>41</v>
      </c>
      <c r="G496" t="s">
        <v>42</v>
      </c>
      <c r="H496">
        <v>14</v>
      </c>
      <c r="I496" s="3">
        <v>8500</v>
      </c>
      <c r="J496" s="3">
        <v>12000</v>
      </c>
      <c r="K496" s="3">
        <v>168000</v>
      </c>
      <c r="L496" s="3">
        <v>119000</v>
      </c>
      <c r="M496" s="3">
        <v>49000</v>
      </c>
      <c r="N496" s="5">
        <v>0.29166666666666669</v>
      </c>
    </row>
    <row r="497" spans="1:14" x14ac:dyDescent="0.3">
      <c r="A497" t="s">
        <v>681</v>
      </c>
      <c r="B497" s="2">
        <v>45904</v>
      </c>
      <c r="C497" t="s">
        <v>410</v>
      </c>
      <c r="D497" t="s">
        <v>35</v>
      </c>
      <c r="E497" t="s">
        <v>23</v>
      </c>
      <c r="F497" t="s">
        <v>24</v>
      </c>
      <c r="G497" t="s">
        <v>25</v>
      </c>
      <c r="H497">
        <v>3</v>
      </c>
      <c r="I497" s="3">
        <v>15000</v>
      </c>
      <c r="J497" s="3">
        <v>19500</v>
      </c>
      <c r="K497" s="3">
        <v>58500</v>
      </c>
      <c r="L497" s="3">
        <v>45000</v>
      </c>
      <c r="M497" s="3">
        <v>13500</v>
      </c>
      <c r="N497" s="5">
        <v>0.23076923076923081</v>
      </c>
    </row>
    <row r="498" spans="1:14" x14ac:dyDescent="0.3">
      <c r="A498" t="s">
        <v>682</v>
      </c>
      <c r="B498" s="2">
        <v>45885</v>
      </c>
      <c r="C498" t="s">
        <v>87</v>
      </c>
      <c r="D498" t="s">
        <v>46</v>
      </c>
      <c r="E498" t="s">
        <v>32</v>
      </c>
      <c r="F498" t="s">
        <v>18</v>
      </c>
      <c r="G498" t="s">
        <v>60</v>
      </c>
      <c r="H498">
        <v>16</v>
      </c>
      <c r="I498" s="3">
        <v>1800</v>
      </c>
      <c r="J498" s="3">
        <v>2800</v>
      </c>
      <c r="K498" s="3">
        <v>44800</v>
      </c>
      <c r="L498" s="3">
        <v>28800</v>
      </c>
      <c r="M498" s="3">
        <v>16000</v>
      </c>
      <c r="N498" s="5">
        <v>0.35714285714285721</v>
      </c>
    </row>
    <row r="499" spans="1:14" x14ac:dyDescent="0.3">
      <c r="A499" t="s">
        <v>683</v>
      </c>
      <c r="B499" s="2">
        <v>45966</v>
      </c>
      <c r="C499" t="s">
        <v>159</v>
      </c>
      <c r="D499" t="s">
        <v>46</v>
      </c>
      <c r="E499" t="s">
        <v>36</v>
      </c>
      <c r="F499" t="s">
        <v>18</v>
      </c>
      <c r="G499" t="s">
        <v>37</v>
      </c>
      <c r="H499">
        <v>12</v>
      </c>
      <c r="I499" s="3">
        <v>400</v>
      </c>
      <c r="J499" s="3">
        <v>650</v>
      </c>
      <c r="K499" s="3">
        <v>7800</v>
      </c>
      <c r="L499" s="3">
        <v>4800</v>
      </c>
      <c r="M499" s="3">
        <v>3000</v>
      </c>
      <c r="N499" s="5">
        <v>0.38461538461538458</v>
      </c>
    </row>
    <row r="500" spans="1:14" x14ac:dyDescent="0.3">
      <c r="A500" t="s">
        <v>684</v>
      </c>
      <c r="B500" s="2">
        <v>45970</v>
      </c>
      <c r="C500" t="s">
        <v>197</v>
      </c>
      <c r="D500" t="s">
        <v>40</v>
      </c>
      <c r="E500" t="s">
        <v>17</v>
      </c>
      <c r="F500" t="s">
        <v>47</v>
      </c>
      <c r="G500" t="s">
        <v>48</v>
      </c>
      <c r="H500">
        <v>13</v>
      </c>
      <c r="I500" s="3">
        <v>2800</v>
      </c>
      <c r="J500" s="3">
        <v>4200</v>
      </c>
      <c r="K500" s="3">
        <v>54600</v>
      </c>
      <c r="L500" s="3">
        <v>36400</v>
      </c>
      <c r="M500" s="3">
        <v>18200</v>
      </c>
      <c r="N500" s="5">
        <v>0.33333333333333331</v>
      </c>
    </row>
    <row r="501" spans="1:14" x14ac:dyDescent="0.3">
      <c r="A501" t="s">
        <v>685</v>
      </c>
      <c r="B501" s="2">
        <v>45932</v>
      </c>
      <c r="C501" t="s">
        <v>200</v>
      </c>
      <c r="D501" t="s">
        <v>35</v>
      </c>
      <c r="E501" t="s">
        <v>23</v>
      </c>
      <c r="F501" t="s">
        <v>18</v>
      </c>
      <c r="G501" t="s">
        <v>60</v>
      </c>
      <c r="H501">
        <v>4</v>
      </c>
      <c r="I501" s="3">
        <v>1800</v>
      </c>
      <c r="J501" s="3">
        <v>2800</v>
      </c>
      <c r="K501" s="3">
        <v>11200</v>
      </c>
      <c r="L501" s="3">
        <v>7200</v>
      </c>
      <c r="M501" s="3">
        <v>4000</v>
      </c>
      <c r="N501" s="5">
        <v>0.35714285714285721</v>
      </c>
    </row>
    <row r="502" spans="1:14" x14ac:dyDescent="0.3">
      <c r="A502" t="s">
        <v>686</v>
      </c>
      <c r="B502" s="2">
        <v>45751</v>
      </c>
      <c r="C502" t="s">
        <v>180</v>
      </c>
      <c r="D502" t="s">
        <v>40</v>
      </c>
      <c r="E502" t="s">
        <v>32</v>
      </c>
      <c r="F502" t="s">
        <v>41</v>
      </c>
      <c r="G502" t="s">
        <v>42</v>
      </c>
      <c r="H502">
        <v>20</v>
      </c>
      <c r="I502" s="3">
        <v>8500</v>
      </c>
      <c r="J502" s="3">
        <v>12000</v>
      </c>
      <c r="K502" s="3">
        <v>240000</v>
      </c>
      <c r="L502" s="3">
        <v>170000</v>
      </c>
      <c r="M502" s="3">
        <v>70000</v>
      </c>
      <c r="N502" s="5">
        <v>0.29166666666666669</v>
      </c>
    </row>
    <row r="503" spans="1:14" x14ac:dyDescent="0.3">
      <c r="A503" t="s">
        <v>687</v>
      </c>
      <c r="B503" s="2">
        <v>45728</v>
      </c>
      <c r="C503" t="s">
        <v>154</v>
      </c>
      <c r="D503" t="s">
        <v>35</v>
      </c>
      <c r="E503" t="s">
        <v>55</v>
      </c>
      <c r="F503" t="s">
        <v>41</v>
      </c>
      <c r="G503" t="s">
        <v>42</v>
      </c>
      <c r="H503">
        <v>15</v>
      </c>
      <c r="I503" s="3">
        <v>8500</v>
      </c>
      <c r="J503" s="3">
        <v>12000</v>
      </c>
      <c r="K503" s="3">
        <v>180000</v>
      </c>
      <c r="L503" s="3">
        <v>127500</v>
      </c>
      <c r="M503" s="3">
        <v>52500</v>
      </c>
      <c r="N503" s="5">
        <v>0.29166666666666669</v>
      </c>
    </row>
    <row r="504" spans="1:14" x14ac:dyDescent="0.3">
      <c r="A504" t="s">
        <v>688</v>
      </c>
      <c r="B504" s="2">
        <v>45843</v>
      </c>
      <c r="C504" t="s">
        <v>259</v>
      </c>
      <c r="D504" t="s">
        <v>16</v>
      </c>
      <c r="E504" t="s">
        <v>55</v>
      </c>
      <c r="F504" t="s">
        <v>41</v>
      </c>
      <c r="G504" t="s">
        <v>42</v>
      </c>
      <c r="H504">
        <v>7</v>
      </c>
      <c r="I504" s="3">
        <v>8500</v>
      </c>
      <c r="J504" s="3">
        <v>12000</v>
      </c>
      <c r="K504" s="3">
        <v>84000</v>
      </c>
      <c r="L504" s="3">
        <v>59500</v>
      </c>
      <c r="M504" s="3">
        <v>24500</v>
      </c>
      <c r="N504" s="5">
        <v>0.29166666666666669</v>
      </c>
    </row>
    <row r="505" spans="1:14" x14ac:dyDescent="0.3">
      <c r="A505" t="s">
        <v>689</v>
      </c>
      <c r="B505" s="2">
        <v>45783</v>
      </c>
      <c r="C505" t="s">
        <v>123</v>
      </c>
      <c r="D505" t="s">
        <v>35</v>
      </c>
      <c r="E505" t="s">
        <v>23</v>
      </c>
      <c r="F505" t="s">
        <v>18</v>
      </c>
      <c r="G505" t="s">
        <v>37</v>
      </c>
      <c r="H505">
        <v>19</v>
      </c>
      <c r="I505" s="3">
        <v>400</v>
      </c>
      <c r="J505" s="3">
        <v>650</v>
      </c>
      <c r="K505" s="3">
        <v>12350</v>
      </c>
      <c r="L505" s="3">
        <v>7600</v>
      </c>
      <c r="M505" s="3">
        <v>4750</v>
      </c>
      <c r="N505" s="5">
        <v>0.38461538461538458</v>
      </c>
    </row>
    <row r="506" spans="1:14" x14ac:dyDescent="0.3">
      <c r="A506" t="s">
        <v>690</v>
      </c>
      <c r="B506" s="2">
        <v>45818</v>
      </c>
      <c r="C506" t="s">
        <v>364</v>
      </c>
      <c r="D506" t="s">
        <v>35</v>
      </c>
      <c r="E506" t="s">
        <v>55</v>
      </c>
      <c r="F506" t="s">
        <v>24</v>
      </c>
      <c r="G506" t="s">
        <v>63</v>
      </c>
      <c r="H506">
        <v>4</v>
      </c>
      <c r="I506" s="3">
        <v>42000</v>
      </c>
      <c r="J506" s="3">
        <v>55000</v>
      </c>
      <c r="K506" s="3">
        <v>220000</v>
      </c>
      <c r="L506" s="3">
        <v>168000</v>
      </c>
      <c r="M506" s="3">
        <v>52000</v>
      </c>
      <c r="N506" s="5">
        <v>0.23636363636363639</v>
      </c>
    </row>
    <row r="507" spans="1:14" x14ac:dyDescent="0.3">
      <c r="A507" t="s">
        <v>691</v>
      </c>
      <c r="B507" s="2">
        <v>45732</v>
      </c>
      <c r="C507" t="s">
        <v>131</v>
      </c>
      <c r="D507" t="s">
        <v>16</v>
      </c>
      <c r="E507" t="s">
        <v>28</v>
      </c>
      <c r="F507" t="s">
        <v>24</v>
      </c>
      <c r="G507" t="s">
        <v>25</v>
      </c>
      <c r="H507">
        <v>10</v>
      </c>
      <c r="I507" s="3">
        <v>15000</v>
      </c>
      <c r="J507" s="3">
        <v>19500</v>
      </c>
      <c r="K507" s="3">
        <v>195000</v>
      </c>
      <c r="L507" s="3">
        <v>150000</v>
      </c>
      <c r="M507" s="3">
        <v>45000</v>
      </c>
      <c r="N507" s="5">
        <v>0.23076923076923081</v>
      </c>
    </row>
    <row r="508" spans="1:14" x14ac:dyDescent="0.3">
      <c r="A508" t="s">
        <v>692</v>
      </c>
      <c r="B508" s="2">
        <v>45732</v>
      </c>
      <c r="C508" t="s">
        <v>21</v>
      </c>
      <c r="D508" t="s">
        <v>46</v>
      </c>
      <c r="E508" t="s">
        <v>36</v>
      </c>
      <c r="F508" t="s">
        <v>18</v>
      </c>
      <c r="G508" t="s">
        <v>72</v>
      </c>
      <c r="H508">
        <v>5</v>
      </c>
      <c r="I508" s="3">
        <v>900</v>
      </c>
      <c r="J508" s="3">
        <v>1500</v>
      </c>
      <c r="K508" s="3">
        <v>7500</v>
      </c>
      <c r="L508" s="3">
        <v>4500</v>
      </c>
      <c r="M508" s="3">
        <v>3000</v>
      </c>
      <c r="N508" s="5">
        <v>0.4</v>
      </c>
    </row>
    <row r="509" spans="1:14" x14ac:dyDescent="0.3">
      <c r="A509" t="s">
        <v>693</v>
      </c>
      <c r="B509" s="2">
        <v>45914</v>
      </c>
      <c r="C509" t="s">
        <v>418</v>
      </c>
      <c r="D509" t="s">
        <v>22</v>
      </c>
      <c r="E509" t="s">
        <v>17</v>
      </c>
      <c r="F509" t="s">
        <v>47</v>
      </c>
      <c r="G509" t="s">
        <v>48</v>
      </c>
      <c r="H509">
        <v>3</v>
      </c>
      <c r="I509" s="3">
        <v>2800</v>
      </c>
      <c r="J509" s="3">
        <v>4200</v>
      </c>
      <c r="K509" s="3">
        <v>12600</v>
      </c>
      <c r="L509" s="3">
        <v>8400</v>
      </c>
      <c r="M509" s="3">
        <v>4200</v>
      </c>
      <c r="N509" s="5">
        <v>0.33333333333333331</v>
      </c>
    </row>
    <row r="510" spans="1:14" x14ac:dyDescent="0.3">
      <c r="A510" t="s">
        <v>694</v>
      </c>
      <c r="B510" s="2">
        <v>45663</v>
      </c>
      <c r="C510" t="s">
        <v>317</v>
      </c>
      <c r="D510" t="s">
        <v>22</v>
      </c>
      <c r="E510" t="s">
        <v>32</v>
      </c>
      <c r="F510" t="s">
        <v>41</v>
      </c>
      <c r="G510" t="s">
        <v>42</v>
      </c>
      <c r="H510">
        <v>10</v>
      </c>
      <c r="I510" s="3">
        <v>8500</v>
      </c>
      <c r="J510" s="3">
        <v>12000</v>
      </c>
      <c r="K510" s="3">
        <v>120000</v>
      </c>
      <c r="L510" s="3">
        <v>85000</v>
      </c>
      <c r="M510" s="3">
        <v>35000</v>
      </c>
      <c r="N510" s="5">
        <v>0.29166666666666669</v>
      </c>
    </row>
    <row r="511" spans="1:14" x14ac:dyDescent="0.3">
      <c r="A511" t="s">
        <v>695</v>
      </c>
      <c r="B511" s="2">
        <v>45908</v>
      </c>
      <c r="C511" t="s">
        <v>213</v>
      </c>
      <c r="D511" t="s">
        <v>40</v>
      </c>
      <c r="E511" t="s">
        <v>32</v>
      </c>
      <c r="F511" t="s">
        <v>41</v>
      </c>
      <c r="G511" t="s">
        <v>42</v>
      </c>
      <c r="H511">
        <v>3</v>
      </c>
      <c r="I511" s="3">
        <v>8500</v>
      </c>
      <c r="J511" s="3">
        <v>12000</v>
      </c>
      <c r="K511" s="3">
        <v>36000</v>
      </c>
      <c r="L511" s="3">
        <v>25500</v>
      </c>
      <c r="M511" s="3">
        <v>10500</v>
      </c>
      <c r="N511" s="5">
        <v>0.29166666666666669</v>
      </c>
    </row>
    <row r="512" spans="1:14" x14ac:dyDescent="0.3">
      <c r="A512" t="s">
        <v>696</v>
      </c>
      <c r="B512" s="2">
        <v>45693</v>
      </c>
      <c r="C512" t="s">
        <v>215</v>
      </c>
      <c r="D512" t="s">
        <v>22</v>
      </c>
      <c r="E512" t="s">
        <v>28</v>
      </c>
      <c r="F512" t="s">
        <v>18</v>
      </c>
      <c r="G512" t="s">
        <v>76</v>
      </c>
      <c r="H512">
        <v>14</v>
      </c>
      <c r="I512" s="3">
        <v>2500</v>
      </c>
      <c r="J512" s="3">
        <v>3600</v>
      </c>
      <c r="K512" s="3">
        <v>50400</v>
      </c>
      <c r="L512" s="3">
        <v>35000</v>
      </c>
      <c r="M512" s="3">
        <v>15400</v>
      </c>
      <c r="N512" s="5">
        <v>0.30555555555555558</v>
      </c>
    </row>
    <row r="513" spans="1:14" x14ac:dyDescent="0.3">
      <c r="A513" t="s">
        <v>697</v>
      </c>
      <c r="B513" s="2">
        <v>45895</v>
      </c>
      <c r="C513" t="s">
        <v>161</v>
      </c>
      <c r="D513" t="s">
        <v>16</v>
      </c>
      <c r="E513" t="s">
        <v>55</v>
      </c>
      <c r="F513" t="s">
        <v>24</v>
      </c>
      <c r="G513" t="s">
        <v>25</v>
      </c>
      <c r="H513">
        <v>10</v>
      </c>
      <c r="I513" s="3">
        <v>15000</v>
      </c>
      <c r="J513" s="3">
        <v>19500</v>
      </c>
      <c r="K513" s="3">
        <v>195000</v>
      </c>
      <c r="L513" s="3">
        <v>150000</v>
      </c>
      <c r="M513" s="3">
        <v>45000</v>
      </c>
      <c r="N513" s="5">
        <v>0.23076923076923081</v>
      </c>
    </row>
    <row r="514" spans="1:14" x14ac:dyDescent="0.3">
      <c r="A514" t="s">
        <v>698</v>
      </c>
      <c r="B514" s="2">
        <v>45916</v>
      </c>
      <c r="C514" t="s">
        <v>498</v>
      </c>
      <c r="D514" t="s">
        <v>46</v>
      </c>
      <c r="E514" t="s">
        <v>17</v>
      </c>
      <c r="F514" t="s">
        <v>41</v>
      </c>
      <c r="G514" t="s">
        <v>42</v>
      </c>
      <c r="H514">
        <v>9</v>
      </c>
      <c r="I514" s="3">
        <v>8500</v>
      </c>
      <c r="J514" s="3">
        <v>12000</v>
      </c>
      <c r="K514" s="3">
        <v>108000</v>
      </c>
      <c r="L514" s="3">
        <v>76500</v>
      </c>
      <c r="M514" s="3">
        <v>31500</v>
      </c>
      <c r="N514" s="5">
        <v>0.29166666666666669</v>
      </c>
    </row>
    <row r="515" spans="1:14" x14ac:dyDescent="0.3">
      <c r="A515" t="s">
        <v>699</v>
      </c>
      <c r="B515" s="2">
        <v>45963</v>
      </c>
      <c r="C515" t="s">
        <v>435</v>
      </c>
      <c r="D515" t="s">
        <v>35</v>
      </c>
      <c r="E515" t="s">
        <v>36</v>
      </c>
      <c r="F515" t="s">
        <v>18</v>
      </c>
      <c r="G515" t="s">
        <v>19</v>
      </c>
      <c r="H515">
        <v>19</v>
      </c>
      <c r="I515" s="3">
        <v>1800</v>
      </c>
      <c r="J515" s="3">
        <v>2600</v>
      </c>
      <c r="K515" s="3">
        <v>49400</v>
      </c>
      <c r="L515" s="3">
        <v>34200</v>
      </c>
      <c r="M515" s="3">
        <v>15200</v>
      </c>
      <c r="N515" s="5">
        <v>0.30769230769230771</v>
      </c>
    </row>
    <row r="516" spans="1:14" x14ac:dyDescent="0.3">
      <c r="A516" t="s">
        <v>700</v>
      </c>
      <c r="B516" s="2">
        <v>45941</v>
      </c>
      <c r="C516" t="s">
        <v>300</v>
      </c>
      <c r="D516" t="s">
        <v>16</v>
      </c>
      <c r="E516" t="s">
        <v>23</v>
      </c>
      <c r="F516" t="s">
        <v>18</v>
      </c>
      <c r="G516" t="s">
        <v>76</v>
      </c>
      <c r="H516">
        <v>7</v>
      </c>
      <c r="I516" s="3">
        <v>2500</v>
      </c>
      <c r="J516" s="3">
        <v>3600</v>
      </c>
      <c r="K516" s="3">
        <v>25200</v>
      </c>
      <c r="L516" s="3">
        <v>17500</v>
      </c>
      <c r="M516" s="3">
        <v>7700</v>
      </c>
      <c r="N516" s="5">
        <v>0.30555555555555558</v>
      </c>
    </row>
    <row r="517" spans="1:14" x14ac:dyDescent="0.3">
      <c r="A517" t="s">
        <v>701</v>
      </c>
      <c r="B517" s="2">
        <v>45679</v>
      </c>
      <c r="C517" t="s">
        <v>110</v>
      </c>
      <c r="D517" t="s">
        <v>40</v>
      </c>
      <c r="E517" t="s">
        <v>23</v>
      </c>
      <c r="F517" t="s">
        <v>18</v>
      </c>
      <c r="G517" t="s">
        <v>19</v>
      </c>
      <c r="H517">
        <v>8</v>
      </c>
      <c r="I517" s="3">
        <v>1800</v>
      </c>
      <c r="J517" s="3">
        <v>2600</v>
      </c>
      <c r="K517" s="3">
        <v>20800</v>
      </c>
      <c r="L517" s="3">
        <v>14400</v>
      </c>
      <c r="M517" s="3">
        <v>6400</v>
      </c>
      <c r="N517" s="5">
        <v>0.30769230769230771</v>
      </c>
    </row>
    <row r="518" spans="1:14" x14ac:dyDescent="0.3">
      <c r="A518" t="s">
        <v>702</v>
      </c>
      <c r="B518" s="2">
        <v>45996</v>
      </c>
      <c r="C518" t="s">
        <v>116</v>
      </c>
      <c r="D518" t="s">
        <v>40</v>
      </c>
      <c r="E518" t="s">
        <v>28</v>
      </c>
      <c r="F518" t="s">
        <v>18</v>
      </c>
      <c r="G518" t="s">
        <v>37</v>
      </c>
      <c r="H518">
        <v>18</v>
      </c>
      <c r="I518" s="3">
        <v>400</v>
      </c>
      <c r="J518" s="3">
        <v>650</v>
      </c>
      <c r="K518" s="3">
        <v>11700</v>
      </c>
      <c r="L518" s="3">
        <v>7200</v>
      </c>
      <c r="M518" s="3">
        <v>4500</v>
      </c>
      <c r="N518" s="5">
        <v>0.38461538461538458</v>
      </c>
    </row>
    <row r="519" spans="1:14" x14ac:dyDescent="0.3">
      <c r="A519" t="s">
        <v>703</v>
      </c>
      <c r="B519" s="2">
        <v>45899</v>
      </c>
      <c r="C519" t="s">
        <v>385</v>
      </c>
      <c r="D519" t="s">
        <v>16</v>
      </c>
      <c r="E519" t="s">
        <v>55</v>
      </c>
      <c r="F519" t="s">
        <v>24</v>
      </c>
      <c r="G519" t="s">
        <v>25</v>
      </c>
      <c r="H519">
        <v>3</v>
      </c>
      <c r="I519" s="3">
        <v>15000</v>
      </c>
      <c r="J519" s="3">
        <v>19500</v>
      </c>
      <c r="K519" s="3">
        <v>58500</v>
      </c>
      <c r="L519" s="3">
        <v>45000</v>
      </c>
      <c r="M519" s="3">
        <v>13500</v>
      </c>
      <c r="N519" s="5">
        <v>0.23076923076923081</v>
      </c>
    </row>
    <row r="520" spans="1:14" x14ac:dyDescent="0.3">
      <c r="A520" t="s">
        <v>704</v>
      </c>
      <c r="B520" s="2">
        <v>45764</v>
      </c>
      <c r="C520" t="s">
        <v>498</v>
      </c>
      <c r="D520" t="s">
        <v>40</v>
      </c>
      <c r="E520" t="s">
        <v>28</v>
      </c>
      <c r="F520" t="s">
        <v>18</v>
      </c>
      <c r="G520" t="s">
        <v>76</v>
      </c>
      <c r="H520">
        <v>9</v>
      </c>
      <c r="I520" s="3">
        <v>2500</v>
      </c>
      <c r="J520" s="3">
        <v>3600</v>
      </c>
      <c r="K520" s="3">
        <v>32400</v>
      </c>
      <c r="L520" s="3">
        <v>22500</v>
      </c>
      <c r="M520" s="3">
        <v>9900</v>
      </c>
      <c r="N520" s="5">
        <v>0.30555555555555558</v>
      </c>
    </row>
    <row r="521" spans="1:14" x14ac:dyDescent="0.3">
      <c r="A521" t="s">
        <v>705</v>
      </c>
      <c r="B521" s="2">
        <v>45659</v>
      </c>
      <c r="C521" t="s">
        <v>97</v>
      </c>
      <c r="D521" t="s">
        <v>22</v>
      </c>
      <c r="E521" t="s">
        <v>36</v>
      </c>
      <c r="F521" t="s">
        <v>41</v>
      </c>
      <c r="G521" t="s">
        <v>42</v>
      </c>
      <c r="H521">
        <v>9</v>
      </c>
      <c r="I521" s="3">
        <v>8500</v>
      </c>
      <c r="J521" s="3">
        <v>12000</v>
      </c>
      <c r="K521" s="3">
        <v>108000</v>
      </c>
      <c r="L521" s="3">
        <v>76500</v>
      </c>
      <c r="M521" s="3">
        <v>31500</v>
      </c>
      <c r="N521" s="5">
        <v>0.29166666666666669</v>
      </c>
    </row>
    <row r="522" spans="1:14" x14ac:dyDescent="0.3">
      <c r="A522" t="s">
        <v>706</v>
      </c>
      <c r="B522" s="2">
        <v>45769</v>
      </c>
      <c r="C522" t="s">
        <v>440</v>
      </c>
      <c r="D522" t="s">
        <v>35</v>
      </c>
      <c r="E522" t="s">
        <v>55</v>
      </c>
      <c r="F522" t="s">
        <v>47</v>
      </c>
      <c r="G522" t="s">
        <v>48</v>
      </c>
      <c r="H522">
        <v>1</v>
      </c>
      <c r="I522" s="3">
        <v>2800</v>
      </c>
      <c r="J522" s="3">
        <v>4200</v>
      </c>
      <c r="K522" s="3">
        <v>4200</v>
      </c>
      <c r="L522" s="3">
        <v>2800</v>
      </c>
      <c r="M522" s="3">
        <v>1400</v>
      </c>
      <c r="N522" s="5">
        <v>0.33333333333333331</v>
      </c>
    </row>
    <row r="523" spans="1:14" x14ac:dyDescent="0.3">
      <c r="A523" t="s">
        <v>707</v>
      </c>
      <c r="B523" s="2">
        <v>46009</v>
      </c>
      <c r="C523" t="s">
        <v>133</v>
      </c>
      <c r="D523" t="s">
        <v>22</v>
      </c>
      <c r="E523" t="s">
        <v>55</v>
      </c>
      <c r="F523" t="s">
        <v>18</v>
      </c>
      <c r="G523" t="s">
        <v>37</v>
      </c>
      <c r="H523">
        <v>9</v>
      </c>
      <c r="I523" s="3">
        <v>400</v>
      </c>
      <c r="J523" s="3">
        <v>650</v>
      </c>
      <c r="K523" s="3">
        <v>5850</v>
      </c>
      <c r="L523" s="3">
        <v>3600</v>
      </c>
      <c r="M523" s="3">
        <v>2250</v>
      </c>
      <c r="N523" s="5">
        <v>0.38461538461538458</v>
      </c>
    </row>
    <row r="524" spans="1:14" x14ac:dyDescent="0.3">
      <c r="A524" t="s">
        <v>708</v>
      </c>
      <c r="B524" s="2">
        <v>45696</v>
      </c>
      <c r="C524" t="s">
        <v>709</v>
      </c>
      <c r="D524" t="s">
        <v>40</v>
      </c>
      <c r="E524" t="s">
        <v>23</v>
      </c>
      <c r="F524" t="s">
        <v>18</v>
      </c>
      <c r="G524" t="s">
        <v>76</v>
      </c>
      <c r="H524">
        <v>9</v>
      </c>
      <c r="I524" s="3">
        <v>2500</v>
      </c>
      <c r="J524" s="3">
        <v>3600</v>
      </c>
      <c r="K524" s="3">
        <v>32400</v>
      </c>
      <c r="L524" s="3">
        <v>22500</v>
      </c>
      <c r="M524" s="3">
        <v>9900</v>
      </c>
      <c r="N524" s="5">
        <v>0.30555555555555558</v>
      </c>
    </row>
    <row r="525" spans="1:14" x14ac:dyDescent="0.3">
      <c r="A525" t="s">
        <v>710</v>
      </c>
      <c r="B525" s="2">
        <v>45949</v>
      </c>
      <c r="C525" t="s">
        <v>307</v>
      </c>
      <c r="D525" t="s">
        <v>16</v>
      </c>
      <c r="E525" t="s">
        <v>23</v>
      </c>
      <c r="F525" t="s">
        <v>18</v>
      </c>
      <c r="G525" t="s">
        <v>76</v>
      </c>
      <c r="H525">
        <v>16</v>
      </c>
      <c r="I525" s="3">
        <v>2500</v>
      </c>
      <c r="J525" s="3">
        <v>3600</v>
      </c>
      <c r="K525" s="3">
        <v>57600</v>
      </c>
      <c r="L525" s="3">
        <v>40000</v>
      </c>
      <c r="M525" s="3">
        <v>17600</v>
      </c>
      <c r="N525" s="5">
        <v>0.30555555555555558</v>
      </c>
    </row>
    <row r="526" spans="1:14" x14ac:dyDescent="0.3">
      <c r="A526" t="s">
        <v>711</v>
      </c>
      <c r="B526" s="2">
        <v>45779</v>
      </c>
      <c r="C526" t="s">
        <v>154</v>
      </c>
      <c r="D526" t="s">
        <v>40</v>
      </c>
      <c r="E526" t="s">
        <v>32</v>
      </c>
      <c r="F526" t="s">
        <v>18</v>
      </c>
      <c r="G526" t="s">
        <v>76</v>
      </c>
      <c r="H526">
        <v>9</v>
      </c>
      <c r="I526" s="3">
        <v>2500</v>
      </c>
      <c r="J526" s="3">
        <v>3600</v>
      </c>
      <c r="K526" s="3">
        <v>32400</v>
      </c>
      <c r="L526" s="3">
        <v>22500</v>
      </c>
      <c r="M526" s="3">
        <v>9900</v>
      </c>
      <c r="N526" s="5">
        <v>0.30555555555555558</v>
      </c>
    </row>
    <row r="527" spans="1:14" x14ac:dyDescent="0.3">
      <c r="A527" t="s">
        <v>712</v>
      </c>
      <c r="B527" s="2">
        <v>45689</v>
      </c>
      <c r="C527" t="s">
        <v>191</v>
      </c>
      <c r="D527" t="s">
        <v>40</v>
      </c>
      <c r="E527" t="s">
        <v>28</v>
      </c>
      <c r="F527" t="s">
        <v>47</v>
      </c>
      <c r="G527" t="s">
        <v>48</v>
      </c>
      <c r="H527">
        <v>17</v>
      </c>
      <c r="I527" s="3">
        <v>2800</v>
      </c>
      <c r="J527" s="3">
        <v>4200</v>
      </c>
      <c r="K527" s="3">
        <v>71400</v>
      </c>
      <c r="L527" s="3">
        <v>47600</v>
      </c>
      <c r="M527" s="3">
        <v>23800</v>
      </c>
      <c r="N527" s="5">
        <v>0.33333333333333331</v>
      </c>
    </row>
    <row r="528" spans="1:14" x14ac:dyDescent="0.3">
      <c r="A528" t="s">
        <v>713</v>
      </c>
      <c r="B528" s="2">
        <v>45676</v>
      </c>
      <c r="C528" t="s">
        <v>161</v>
      </c>
      <c r="D528" t="s">
        <v>16</v>
      </c>
      <c r="E528" t="s">
        <v>32</v>
      </c>
      <c r="F528" t="s">
        <v>41</v>
      </c>
      <c r="G528" t="s">
        <v>42</v>
      </c>
      <c r="H528">
        <v>17</v>
      </c>
      <c r="I528" s="3">
        <v>8500</v>
      </c>
      <c r="J528" s="3">
        <v>12000</v>
      </c>
      <c r="K528" s="3">
        <v>204000</v>
      </c>
      <c r="L528" s="3">
        <v>144500</v>
      </c>
      <c r="M528" s="3">
        <v>59500</v>
      </c>
      <c r="N528" s="5">
        <v>0.29166666666666669</v>
      </c>
    </row>
    <row r="529" spans="1:14" x14ac:dyDescent="0.3">
      <c r="A529" t="s">
        <v>714</v>
      </c>
      <c r="B529" s="2">
        <v>45896</v>
      </c>
      <c r="C529" t="s">
        <v>95</v>
      </c>
      <c r="D529" t="s">
        <v>16</v>
      </c>
      <c r="E529" t="s">
        <v>28</v>
      </c>
      <c r="F529" t="s">
        <v>18</v>
      </c>
      <c r="G529" t="s">
        <v>19</v>
      </c>
      <c r="H529">
        <v>19</v>
      </c>
      <c r="I529" s="3">
        <v>1800</v>
      </c>
      <c r="J529" s="3">
        <v>2600</v>
      </c>
      <c r="K529" s="3">
        <v>49400</v>
      </c>
      <c r="L529" s="3">
        <v>34200</v>
      </c>
      <c r="M529" s="3">
        <v>15200</v>
      </c>
      <c r="N529" s="5">
        <v>0.30769230769230771</v>
      </c>
    </row>
    <row r="530" spans="1:14" x14ac:dyDescent="0.3">
      <c r="A530" t="s">
        <v>715</v>
      </c>
      <c r="B530" s="2">
        <v>45878</v>
      </c>
      <c r="C530" t="s">
        <v>50</v>
      </c>
      <c r="D530" t="s">
        <v>22</v>
      </c>
      <c r="E530" t="s">
        <v>28</v>
      </c>
      <c r="F530" t="s">
        <v>24</v>
      </c>
      <c r="G530" t="s">
        <v>63</v>
      </c>
      <c r="H530">
        <v>5</v>
      </c>
      <c r="I530" s="3">
        <v>42000</v>
      </c>
      <c r="J530" s="3">
        <v>55000</v>
      </c>
      <c r="K530" s="3">
        <v>275000</v>
      </c>
      <c r="L530" s="3">
        <v>210000</v>
      </c>
      <c r="M530" s="3">
        <v>65000</v>
      </c>
      <c r="N530" s="5">
        <v>0.23636363636363639</v>
      </c>
    </row>
    <row r="531" spans="1:14" x14ac:dyDescent="0.3">
      <c r="A531" t="s">
        <v>716</v>
      </c>
      <c r="B531" s="2">
        <v>45810</v>
      </c>
      <c r="C531" t="s">
        <v>407</v>
      </c>
      <c r="D531" t="s">
        <v>22</v>
      </c>
      <c r="E531" t="s">
        <v>17</v>
      </c>
      <c r="F531" t="s">
        <v>47</v>
      </c>
      <c r="G531" t="s">
        <v>48</v>
      </c>
      <c r="H531">
        <v>1</v>
      </c>
      <c r="I531" s="3">
        <v>2800</v>
      </c>
      <c r="J531" s="3">
        <v>4200</v>
      </c>
      <c r="K531" s="3">
        <v>4200</v>
      </c>
      <c r="L531" s="3">
        <v>2800</v>
      </c>
      <c r="M531" s="3">
        <v>1400</v>
      </c>
      <c r="N531" s="5">
        <v>0.33333333333333331</v>
      </c>
    </row>
    <row r="532" spans="1:14" x14ac:dyDescent="0.3">
      <c r="A532" t="s">
        <v>717</v>
      </c>
      <c r="B532" s="2">
        <v>45661</v>
      </c>
      <c r="C532" t="s">
        <v>116</v>
      </c>
      <c r="D532" t="s">
        <v>46</v>
      </c>
      <c r="E532" t="s">
        <v>28</v>
      </c>
      <c r="F532" t="s">
        <v>24</v>
      </c>
      <c r="G532" t="s">
        <v>63</v>
      </c>
      <c r="H532">
        <v>16</v>
      </c>
      <c r="I532" s="3">
        <v>42000</v>
      </c>
      <c r="J532" s="3">
        <v>55000</v>
      </c>
      <c r="K532" s="3">
        <v>880000</v>
      </c>
      <c r="L532" s="3">
        <v>672000</v>
      </c>
      <c r="M532" s="3">
        <v>208000</v>
      </c>
      <c r="N532" s="5">
        <v>0.23636363636363639</v>
      </c>
    </row>
    <row r="533" spans="1:14" x14ac:dyDescent="0.3">
      <c r="A533" t="s">
        <v>718</v>
      </c>
      <c r="B533" s="2">
        <v>45811</v>
      </c>
      <c r="C533" t="s">
        <v>719</v>
      </c>
      <c r="D533" t="s">
        <v>46</v>
      </c>
      <c r="E533" t="s">
        <v>32</v>
      </c>
      <c r="F533" t="s">
        <v>24</v>
      </c>
      <c r="G533" t="s">
        <v>63</v>
      </c>
      <c r="H533">
        <v>8</v>
      </c>
      <c r="I533" s="3">
        <v>42000</v>
      </c>
      <c r="J533" s="3">
        <v>55000</v>
      </c>
      <c r="K533" s="3">
        <v>440000</v>
      </c>
      <c r="L533" s="3">
        <v>336000</v>
      </c>
      <c r="M533" s="3">
        <v>104000</v>
      </c>
      <c r="N533" s="5">
        <v>0.23636363636363639</v>
      </c>
    </row>
    <row r="534" spans="1:14" x14ac:dyDescent="0.3">
      <c r="A534" t="s">
        <v>720</v>
      </c>
      <c r="B534" s="2">
        <v>45875</v>
      </c>
      <c r="C534" t="s">
        <v>34</v>
      </c>
      <c r="D534" t="s">
        <v>22</v>
      </c>
      <c r="E534" t="s">
        <v>36</v>
      </c>
      <c r="F534" t="s">
        <v>24</v>
      </c>
      <c r="G534" t="s">
        <v>29</v>
      </c>
      <c r="H534">
        <v>7</v>
      </c>
      <c r="I534" s="3">
        <v>12000</v>
      </c>
      <c r="J534" s="3">
        <v>16500</v>
      </c>
      <c r="K534" s="3">
        <v>115500</v>
      </c>
      <c r="L534" s="3">
        <v>84000</v>
      </c>
      <c r="M534" s="3">
        <v>31500</v>
      </c>
      <c r="N534" s="5">
        <v>0.27272727272727271</v>
      </c>
    </row>
    <row r="535" spans="1:14" x14ac:dyDescent="0.3">
      <c r="A535" t="s">
        <v>721</v>
      </c>
      <c r="B535" s="2">
        <v>45962</v>
      </c>
      <c r="C535" t="s">
        <v>276</v>
      </c>
      <c r="D535" t="s">
        <v>40</v>
      </c>
      <c r="E535" t="s">
        <v>32</v>
      </c>
      <c r="F535" t="s">
        <v>18</v>
      </c>
      <c r="G535" t="s">
        <v>19</v>
      </c>
      <c r="H535">
        <v>1</v>
      </c>
      <c r="I535" s="3">
        <v>1800</v>
      </c>
      <c r="J535" s="3">
        <v>2600</v>
      </c>
      <c r="K535" s="3">
        <v>2600</v>
      </c>
      <c r="L535" s="3">
        <v>1800</v>
      </c>
      <c r="M535" s="3">
        <v>800</v>
      </c>
      <c r="N535" s="5">
        <v>0.30769230769230771</v>
      </c>
    </row>
    <row r="536" spans="1:14" x14ac:dyDescent="0.3">
      <c r="A536" t="s">
        <v>722</v>
      </c>
      <c r="B536" s="2">
        <v>45812</v>
      </c>
      <c r="C536" t="s">
        <v>303</v>
      </c>
      <c r="D536" t="s">
        <v>22</v>
      </c>
      <c r="E536" t="s">
        <v>36</v>
      </c>
      <c r="F536" t="s">
        <v>18</v>
      </c>
      <c r="G536" t="s">
        <v>37</v>
      </c>
      <c r="H536">
        <v>9</v>
      </c>
      <c r="I536" s="3">
        <v>400</v>
      </c>
      <c r="J536" s="3">
        <v>650</v>
      </c>
      <c r="K536" s="3">
        <v>5850</v>
      </c>
      <c r="L536" s="3">
        <v>3600</v>
      </c>
      <c r="M536" s="3">
        <v>2250</v>
      </c>
      <c r="N536" s="5">
        <v>0.38461538461538458</v>
      </c>
    </row>
    <row r="537" spans="1:14" x14ac:dyDescent="0.3">
      <c r="A537" t="s">
        <v>723</v>
      </c>
      <c r="B537" s="2">
        <v>45685</v>
      </c>
      <c r="C537" t="s">
        <v>407</v>
      </c>
      <c r="D537" t="s">
        <v>46</v>
      </c>
      <c r="E537" t="s">
        <v>17</v>
      </c>
      <c r="F537" t="s">
        <v>24</v>
      </c>
      <c r="G537" t="s">
        <v>63</v>
      </c>
      <c r="H537">
        <v>10</v>
      </c>
      <c r="I537" s="3">
        <v>42000</v>
      </c>
      <c r="J537" s="3">
        <v>55000</v>
      </c>
      <c r="K537" s="3">
        <v>550000</v>
      </c>
      <c r="L537" s="3">
        <v>420000</v>
      </c>
      <c r="M537" s="3">
        <v>130000</v>
      </c>
      <c r="N537" s="5">
        <v>0.23636363636363639</v>
      </c>
    </row>
    <row r="538" spans="1:14" x14ac:dyDescent="0.3">
      <c r="A538" t="s">
        <v>724</v>
      </c>
      <c r="B538" s="2">
        <v>45679</v>
      </c>
      <c r="C538" t="s">
        <v>498</v>
      </c>
      <c r="D538" t="s">
        <v>16</v>
      </c>
      <c r="E538" t="s">
        <v>28</v>
      </c>
      <c r="F538" t="s">
        <v>24</v>
      </c>
      <c r="G538" t="s">
        <v>29</v>
      </c>
      <c r="H538">
        <v>14</v>
      </c>
      <c r="I538" s="3">
        <v>12000</v>
      </c>
      <c r="J538" s="3">
        <v>16500</v>
      </c>
      <c r="K538" s="3">
        <v>231000</v>
      </c>
      <c r="L538" s="3">
        <v>168000</v>
      </c>
      <c r="M538" s="3">
        <v>63000</v>
      </c>
      <c r="N538" s="5">
        <v>0.27272727272727271</v>
      </c>
    </row>
    <row r="539" spans="1:14" x14ac:dyDescent="0.3">
      <c r="A539" t="s">
        <v>725</v>
      </c>
      <c r="B539" s="2">
        <v>45766</v>
      </c>
      <c r="C539" t="s">
        <v>371</v>
      </c>
      <c r="D539" t="s">
        <v>35</v>
      </c>
      <c r="E539" t="s">
        <v>36</v>
      </c>
      <c r="F539" t="s">
        <v>24</v>
      </c>
      <c r="G539" t="s">
        <v>29</v>
      </c>
      <c r="H539">
        <v>3</v>
      </c>
      <c r="I539" s="3">
        <v>12000</v>
      </c>
      <c r="J539" s="3">
        <v>16500</v>
      </c>
      <c r="K539" s="3">
        <v>49500</v>
      </c>
      <c r="L539" s="3">
        <v>36000</v>
      </c>
      <c r="M539" s="3">
        <v>13500</v>
      </c>
      <c r="N539" s="5">
        <v>0.27272727272727271</v>
      </c>
    </row>
    <row r="540" spans="1:14" x14ac:dyDescent="0.3">
      <c r="A540" t="s">
        <v>726</v>
      </c>
      <c r="B540" s="2">
        <v>45915</v>
      </c>
      <c r="C540" t="s">
        <v>396</v>
      </c>
      <c r="D540" t="s">
        <v>22</v>
      </c>
      <c r="E540" t="s">
        <v>55</v>
      </c>
      <c r="F540" t="s">
        <v>47</v>
      </c>
      <c r="G540" t="s">
        <v>48</v>
      </c>
      <c r="H540">
        <v>18</v>
      </c>
      <c r="I540" s="3">
        <v>2800</v>
      </c>
      <c r="J540" s="3">
        <v>4200</v>
      </c>
      <c r="K540" s="3">
        <v>75600</v>
      </c>
      <c r="L540" s="3">
        <v>50400</v>
      </c>
      <c r="M540" s="3">
        <v>25200</v>
      </c>
      <c r="N540" s="5">
        <v>0.33333333333333331</v>
      </c>
    </row>
    <row r="541" spans="1:14" x14ac:dyDescent="0.3">
      <c r="A541" t="s">
        <v>727</v>
      </c>
      <c r="B541" s="2">
        <v>45828</v>
      </c>
      <c r="C541" t="s">
        <v>156</v>
      </c>
      <c r="D541" t="s">
        <v>40</v>
      </c>
      <c r="E541" t="s">
        <v>28</v>
      </c>
      <c r="F541" t="s">
        <v>18</v>
      </c>
      <c r="G541" t="s">
        <v>72</v>
      </c>
      <c r="H541">
        <v>2</v>
      </c>
      <c r="I541" s="3">
        <v>900</v>
      </c>
      <c r="J541" s="3">
        <v>1500</v>
      </c>
      <c r="K541" s="3">
        <v>3000</v>
      </c>
      <c r="L541" s="3">
        <v>1800</v>
      </c>
      <c r="M541" s="3">
        <v>1200</v>
      </c>
      <c r="N541" s="5">
        <v>0.4</v>
      </c>
    </row>
    <row r="542" spans="1:14" x14ac:dyDescent="0.3">
      <c r="A542" t="s">
        <v>728</v>
      </c>
      <c r="B542" s="2">
        <v>45845</v>
      </c>
      <c r="C542" t="s">
        <v>643</v>
      </c>
      <c r="D542" t="s">
        <v>46</v>
      </c>
      <c r="E542" t="s">
        <v>17</v>
      </c>
      <c r="F542" t="s">
        <v>18</v>
      </c>
      <c r="G542" t="s">
        <v>72</v>
      </c>
      <c r="H542">
        <v>8</v>
      </c>
      <c r="I542" s="3">
        <v>900</v>
      </c>
      <c r="J542" s="3">
        <v>1500</v>
      </c>
      <c r="K542" s="3">
        <v>12000</v>
      </c>
      <c r="L542" s="3">
        <v>7200</v>
      </c>
      <c r="M542" s="3">
        <v>4800</v>
      </c>
      <c r="N542" s="5">
        <v>0.4</v>
      </c>
    </row>
    <row r="543" spans="1:14" x14ac:dyDescent="0.3">
      <c r="A543" t="s">
        <v>729</v>
      </c>
      <c r="B543" s="2">
        <v>45801</v>
      </c>
      <c r="C543" t="s">
        <v>298</v>
      </c>
      <c r="D543" t="s">
        <v>40</v>
      </c>
      <c r="E543" t="s">
        <v>23</v>
      </c>
      <c r="F543" t="s">
        <v>24</v>
      </c>
      <c r="G543" t="s">
        <v>29</v>
      </c>
      <c r="H543">
        <v>6</v>
      </c>
      <c r="I543" s="3">
        <v>12000</v>
      </c>
      <c r="J543" s="3">
        <v>16500</v>
      </c>
      <c r="K543" s="3">
        <v>99000</v>
      </c>
      <c r="L543" s="3">
        <v>72000</v>
      </c>
      <c r="M543" s="3">
        <v>27000</v>
      </c>
      <c r="N543" s="5">
        <v>0.27272727272727271</v>
      </c>
    </row>
    <row r="544" spans="1:14" x14ac:dyDescent="0.3">
      <c r="A544" t="s">
        <v>730</v>
      </c>
      <c r="B544" s="2">
        <v>45734</v>
      </c>
      <c r="C544" t="s">
        <v>388</v>
      </c>
      <c r="D544" t="s">
        <v>40</v>
      </c>
      <c r="E544" t="s">
        <v>36</v>
      </c>
      <c r="F544" t="s">
        <v>18</v>
      </c>
      <c r="G544" t="s">
        <v>60</v>
      </c>
      <c r="H544">
        <v>11</v>
      </c>
      <c r="I544" s="3">
        <v>1800</v>
      </c>
      <c r="J544" s="3">
        <v>2800</v>
      </c>
      <c r="K544" s="3">
        <v>30800</v>
      </c>
      <c r="L544" s="3">
        <v>19800</v>
      </c>
      <c r="M544" s="3">
        <v>11000</v>
      </c>
      <c r="N544" s="5">
        <v>0.35714285714285721</v>
      </c>
    </row>
    <row r="545" spans="1:14" x14ac:dyDescent="0.3">
      <c r="A545" t="s">
        <v>731</v>
      </c>
      <c r="B545" s="2">
        <v>45792</v>
      </c>
      <c r="C545" t="s">
        <v>178</v>
      </c>
      <c r="D545" t="s">
        <v>22</v>
      </c>
      <c r="E545" t="s">
        <v>36</v>
      </c>
      <c r="F545" t="s">
        <v>18</v>
      </c>
      <c r="G545" t="s">
        <v>19</v>
      </c>
      <c r="H545">
        <v>8</v>
      </c>
      <c r="I545" s="3">
        <v>1800</v>
      </c>
      <c r="J545" s="3">
        <v>2600</v>
      </c>
      <c r="K545" s="3">
        <v>20800</v>
      </c>
      <c r="L545" s="3">
        <v>14400</v>
      </c>
      <c r="M545" s="3">
        <v>6400</v>
      </c>
      <c r="N545" s="5">
        <v>0.30769230769230771</v>
      </c>
    </row>
    <row r="546" spans="1:14" x14ac:dyDescent="0.3">
      <c r="A546" t="s">
        <v>732</v>
      </c>
      <c r="B546" s="2">
        <v>45887</v>
      </c>
      <c r="C546" t="s">
        <v>156</v>
      </c>
      <c r="D546" t="s">
        <v>16</v>
      </c>
      <c r="E546" t="s">
        <v>23</v>
      </c>
      <c r="F546" t="s">
        <v>41</v>
      </c>
      <c r="G546" t="s">
        <v>42</v>
      </c>
      <c r="H546">
        <v>10</v>
      </c>
      <c r="I546" s="3">
        <v>8500</v>
      </c>
      <c r="J546" s="3">
        <v>12000</v>
      </c>
      <c r="K546" s="3">
        <v>120000</v>
      </c>
      <c r="L546" s="3">
        <v>85000</v>
      </c>
      <c r="M546" s="3">
        <v>35000</v>
      </c>
      <c r="N546" s="5">
        <v>0.29166666666666669</v>
      </c>
    </row>
    <row r="547" spans="1:14" x14ac:dyDescent="0.3">
      <c r="A547" t="s">
        <v>733</v>
      </c>
      <c r="B547" s="2">
        <v>45778</v>
      </c>
      <c r="C547" t="s">
        <v>259</v>
      </c>
      <c r="D547" t="s">
        <v>35</v>
      </c>
      <c r="E547" t="s">
        <v>28</v>
      </c>
      <c r="F547" t="s">
        <v>47</v>
      </c>
      <c r="G547" t="s">
        <v>48</v>
      </c>
      <c r="H547">
        <v>8</v>
      </c>
      <c r="I547" s="3">
        <v>2800</v>
      </c>
      <c r="J547" s="3">
        <v>4200</v>
      </c>
      <c r="K547" s="3">
        <v>33600</v>
      </c>
      <c r="L547" s="3">
        <v>22400</v>
      </c>
      <c r="M547" s="3">
        <v>11200</v>
      </c>
      <c r="N547" s="5">
        <v>0.33333333333333331</v>
      </c>
    </row>
    <row r="548" spans="1:14" x14ac:dyDescent="0.3">
      <c r="A548" t="s">
        <v>734</v>
      </c>
      <c r="B548" s="2">
        <v>45816</v>
      </c>
      <c r="C548" t="s">
        <v>108</v>
      </c>
      <c r="D548" t="s">
        <v>16</v>
      </c>
      <c r="E548" t="s">
        <v>17</v>
      </c>
      <c r="F548" t="s">
        <v>24</v>
      </c>
      <c r="G548" t="s">
        <v>25</v>
      </c>
      <c r="H548">
        <v>1</v>
      </c>
      <c r="I548" s="3">
        <v>15000</v>
      </c>
      <c r="J548" s="3">
        <v>19500</v>
      </c>
      <c r="K548" s="3">
        <v>19500</v>
      </c>
      <c r="L548" s="3">
        <v>15000</v>
      </c>
      <c r="M548" s="3">
        <v>4500</v>
      </c>
      <c r="N548" s="5">
        <v>0.23076923076923081</v>
      </c>
    </row>
    <row r="549" spans="1:14" x14ac:dyDescent="0.3">
      <c r="A549" t="s">
        <v>735</v>
      </c>
      <c r="B549" s="2">
        <v>45857</v>
      </c>
      <c r="C549" t="s">
        <v>371</v>
      </c>
      <c r="D549" t="s">
        <v>35</v>
      </c>
      <c r="E549" t="s">
        <v>36</v>
      </c>
      <c r="F549" t="s">
        <v>18</v>
      </c>
      <c r="G549" t="s">
        <v>72</v>
      </c>
      <c r="H549">
        <v>1</v>
      </c>
      <c r="I549" s="3">
        <v>900</v>
      </c>
      <c r="J549" s="3">
        <v>1500</v>
      </c>
      <c r="K549" s="3">
        <v>1500</v>
      </c>
      <c r="L549" s="3">
        <v>900</v>
      </c>
      <c r="M549" s="3">
        <v>600</v>
      </c>
      <c r="N549" s="5">
        <v>0.4</v>
      </c>
    </row>
    <row r="550" spans="1:14" x14ac:dyDescent="0.3">
      <c r="A550" t="s">
        <v>736</v>
      </c>
      <c r="B550" s="2">
        <v>46008</v>
      </c>
      <c r="C550" t="s">
        <v>563</v>
      </c>
      <c r="D550" t="s">
        <v>35</v>
      </c>
      <c r="E550" t="s">
        <v>36</v>
      </c>
      <c r="F550" t="s">
        <v>18</v>
      </c>
      <c r="G550" t="s">
        <v>76</v>
      </c>
      <c r="H550">
        <v>14</v>
      </c>
      <c r="I550" s="3">
        <v>2500</v>
      </c>
      <c r="J550" s="3">
        <v>3600</v>
      </c>
      <c r="K550" s="3">
        <v>50400</v>
      </c>
      <c r="L550" s="3">
        <v>35000</v>
      </c>
      <c r="M550" s="3">
        <v>15400</v>
      </c>
      <c r="N550" s="5">
        <v>0.30555555555555558</v>
      </c>
    </row>
    <row r="551" spans="1:14" x14ac:dyDescent="0.3">
      <c r="A551" t="s">
        <v>737</v>
      </c>
      <c r="B551" s="2">
        <v>45685</v>
      </c>
      <c r="C551" t="s">
        <v>396</v>
      </c>
      <c r="D551" t="s">
        <v>35</v>
      </c>
      <c r="E551" t="s">
        <v>36</v>
      </c>
      <c r="F551" t="s">
        <v>47</v>
      </c>
      <c r="G551" t="s">
        <v>48</v>
      </c>
      <c r="H551">
        <v>9</v>
      </c>
      <c r="I551" s="3">
        <v>2800</v>
      </c>
      <c r="J551" s="3">
        <v>4200</v>
      </c>
      <c r="K551" s="3">
        <v>37800</v>
      </c>
      <c r="L551" s="3">
        <v>25200</v>
      </c>
      <c r="M551" s="3">
        <v>12600</v>
      </c>
      <c r="N551" s="5">
        <v>0.33333333333333331</v>
      </c>
    </row>
    <row r="552" spans="1:14" x14ac:dyDescent="0.3">
      <c r="A552" t="s">
        <v>738</v>
      </c>
      <c r="B552" s="2">
        <v>45866</v>
      </c>
      <c r="C552" t="s">
        <v>424</v>
      </c>
      <c r="D552" t="s">
        <v>22</v>
      </c>
      <c r="E552" t="s">
        <v>23</v>
      </c>
      <c r="F552" t="s">
        <v>47</v>
      </c>
      <c r="G552" t="s">
        <v>48</v>
      </c>
      <c r="H552">
        <v>7</v>
      </c>
      <c r="I552" s="3">
        <v>2800</v>
      </c>
      <c r="J552" s="3">
        <v>4200</v>
      </c>
      <c r="K552" s="3">
        <v>29400</v>
      </c>
      <c r="L552" s="3">
        <v>19600</v>
      </c>
      <c r="M552" s="3">
        <v>9800</v>
      </c>
      <c r="N552" s="5">
        <v>0.33333333333333331</v>
      </c>
    </row>
    <row r="553" spans="1:14" x14ac:dyDescent="0.3">
      <c r="A553" t="s">
        <v>739</v>
      </c>
      <c r="B553" s="2">
        <v>45835</v>
      </c>
      <c r="C553" t="s">
        <v>57</v>
      </c>
      <c r="D553" t="s">
        <v>16</v>
      </c>
      <c r="E553" t="s">
        <v>55</v>
      </c>
      <c r="F553" t="s">
        <v>18</v>
      </c>
      <c r="G553" t="s">
        <v>60</v>
      </c>
      <c r="H553">
        <v>15</v>
      </c>
      <c r="I553" s="3">
        <v>1800</v>
      </c>
      <c r="J553" s="3">
        <v>2800</v>
      </c>
      <c r="K553" s="3">
        <v>42000</v>
      </c>
      <c r="L553" s="3">
        <v>27000</v>
      </c>
      <c r="M553" s="3">
        <v>15000</v>
      </c>
      <c r="N553" s="5">
        <v>0.35714285714285721</v>
      </c>
    </row>
    <row r="554" spans="1:14" x14ac:dyDescent="0.3">
      <c r="A554" t="s">
        <v>740</v>
      </c>
      <c r="B554" s="2">
        <v>45672</v>
      </c>
      <c r="C554" t="s">
        <v>418</v>
      </c>
      <c r="D554" t="s">
        <v>22</v>
      </c>
      <c r="E554" t="s">
        <v>28</v>
      </c>
      <c r="F554" t="s">
        <v>41</v>
      </c>
      <c r="G554" t="s">
        <v>42</v>
      </c>
      <c r="H554">
        <v>13</v>
      </c>
      <c r="I554" s="3">
        <v>8500</v>
      </c>
      <c r="J554" s="3">
        <v>12000</v>
      </c>
      <c r="K554" s="3">
        <v>156000</v>
      </c>
      <c r="L554" s="3">
        <v>110500</v>
      </c>
      <c r="M554" s="3">
        <v>45500</v>
      </c>
      <c r="N554" s="5">
        <v>0.29166666666666669</v>
      </c>
    </row>
    <row r="555" spans="1:14" x14ac:dyDescent="0.3">
      <c r="A555" t="s">
        <v>741</v>
      </c>
      <c r="B555" s="2">
        <v>45721</v>
      </c>
      <c r="C555" t="s">
        <v>89</v>
      </c>
      <c r="D555" t="s">
        <v>16</v>
      </c>
      <c r="E555" t="s">
        <v>23</v>
      </c>
      <c r="F555" t="s">
        <v>24</v>
      </c>
      <c r="G555" t="s">
        <v>63</v>
      </c>
      <c r="H555">
        <v>2</v>
      </c>
      <c r="I555" s="3">
        <v>42000</v>
      </c>
      <c r="J555" s="3">
        <v>55000</v>
      </c>
      <c r="K555" s="3">
        <v>110000</v>
      </c>
      <c r="L555" s="3">
        <v>84000</v>
      </c>
      <c r="M555" s="3">
        <v>26000</v>
      </c>
      <c r="N555" s="5">
        <v>0.23636363636363639</v>
      </c>
    </row>
    <row r="556" spans="1:14" x14ac:dyDescent="0.3">
      <c r="A556" t="s">
        <v>742</v>
      </c>
      <c r="B556" s="2">
        <v>45916</v>
      </c>
      <c r="C556" t="s">
        <v>300</v>
      </c>
      <c r="D556" t="s">
        <v>16</v>
      </c>
      <c r="E556" t="s">
        <v>23</v>
      </c>
      <c r="F556" t="s">
        <v>24</v>
      </c>
      <c r="G556" t="s">
        <v>29</v>
      </c>
      <c r="H556">
        <v>10</v>
      </c>
      <c r="I556" s="3">
        <v>12000</v>
      </c>
      <c r="J556" s="3">
        <v>16500</v>
      </c>
      <c r="K556" s="3">
        <v>165000</v>
      </c>
      <c r="L556" s="3">
        <v>120000</v>
      </c>
      <c r="M556" s="3">
        <v>45000</v>
      </c>
      <c r="N556" s="5">
        <v>0.27272727272727271</v>
      </c>
    </row>
    <row r="557" spans="1:14" x14ac:dyDescent="0.3">
      <c r="A557" t="s">
        <v>743</v>
      </c>
      <c r="B557" s="2">
        <v>45955</v>
      </c>
      <c r="C557" t="s">
        <v>257</v>
      </c>
      <c r="D557" t="s">
        <v>46</v>
      </c>
      <c r="E557" t="s">
        <v>28</v>
      </c>
      <c r="F557" t="s">
        <v>18</v>
      </c>
      <c r="G557" t="s">
        <v>37</v>
      </c>
      <c r="H557">
        <v>13</v>
      </c>
      <c r="I557" s="3">
        <v>400</v>
      </c>
      <c r="J557" s="3">
        <v>650</v>
      </c>
      <c r="K557" s="3">
        <v>8450</v>
      </c>
      <c r="L557" s="3">
        <v>5200</v>
      </c>
      <c r="M557" s="3">
        <v>3250</v>
      </c>
      <c r="N557" s="5">
        <v>0.38461538461538458</v>
      </c>
    </row>
    <row r="558" spans="1:14" x14ac:dyDescent="0.3">
      <c r="A558" t="s">
        <v>744</v>
      </c>
      <c r="B558" s="2">
        <v>45919</v>
      </c>
      <c r="C558" t="s">
        <v>161</v>
      </c>
      <c r="D558" t="s">
        <v>35</v>
      </c>
      <c r="E558" t="s">
        <v>32</v>
      </c>
      <c r="F558" t="s">
        <v>18</v>
      </c>
      <c r="G558" t="s">
        <v>19</v>
      </c>
      <c r="H558">
        <v>13</v>
      </c>
      <c r="I558" s="3">
        <v>1800</v>
      </c>
      <c r="J558" s="3">
        <v>2600</v>
      </c>
      <c r="K558" s="3">
        <v>33800</v>
      </c>
      <c r="L558" s="3">
        <v>23400</v>
      </c>
      <c r="M558" s="3">
        <v>10400</v>
      </c>
      <c r="N558" s="5">
        <v>0.30769230769230771</v>
      </c>
    </row>
    <row r="559" spans="1:14" x14ac:dyDescent="0.3">
      <c r="A559" t="s">
        <v>745</v>
      </c>
      <c r="B559" s="2">
        <v>45932</v>
      </c>
      <c r="C559" t="s">
        <v>659</v>
      </c>
      <c r="D559" t="s">
        <v>35</v>
      </c>
      <c r="E559" t="s">
        <v>36</v>
      </c>
      <c r="F559" t="s">
        <v>47</v>
      </c>
      <c r="G559" t="s">
        <v>48</v>
      </c>
      <c r="H559">
        <v>9</v>
      </c>
      <c r="I559" s="3">
        <v>2800</v>
      </c>
      <c r="J559" s="3">
        <v>4200</v>
      </c>
      <c r="K559" s="3">
        <v>37800</v>
      </c>
      <c r="L559" s="3">
        <v>25200</v>
      </c>
      <c r="M559" s="3">
        <v>12600</v>
      </c>
      <c r="N559" s="5">
        <v>0.33333333333333331</v>
      </c>
    </row>
    <row r="560" spans="1:14" x14ac:dyDescent="0.3">
      <c r="A560" t="s">
        <v>746</v>
      </c>
      <c r="B560" s="2">
        <v>45904</v>
      </c>
      <c r="C560" t="s">
        <v>287</v>
      </c>
      <c r="D560" t="s">
        <v>40</v>
      </c>
      <c r="E560" t="s">
        <v>23</v>
      </c>
      <c r="F560" t="s">
        <v>18</v>
      </c>
      <c r="G560" t="s">
        <v>76</v>
      </c>
      <c r="H560">
        <v>7</v>
      </c>
      <c r="I560" s="3">
        <v>2500</v>
      </c>
      <c r="J560" s="3">
        <v>3600</v>
      </c>
      <c r="K560" s="3">
        <v>25200</v>
      </c>
      <c r="L560" s="3">
        <v>17500</v>
      </c>
      <c r="M560" s="3">
        <v>7700</v>
      </c>
      <c r="N560" s="5">
        <v>0.30555555555555558</v>
      </c>
    </row>
    <row r="561" spans="1:14" x14ac:dyDescent="0.3">
      <c r="A561" t="s">
        <v>747</v>
      </c>
      <c r="B561" s="2">
        <v>45793</v>
      </c>
      <c r="C561" t="s">
        <v>235</v>
      </c>
      <c r="D561" t="s">
        <v>22</v>
      </c>
      <c r="E561" t="s">
        <v>55</v>
      </c>
      <c r="F561" t="s">
        <v>18</v>
      </c>
      <c r="G561" t="s">
        <v>72</v>
      </c>
      <c r="H561">
        <v>14</v>
      </c>
      <c r="I561" s="3">
        <v>900</v>
      </c>
      <c r="J561" s="3">
        <v>1500</v>
      </c>
      <c r="K561" s="3">
        <v>21000</v>
      </c>
      <c r="L561" s="3">
        <v>12600</v>
      </c>
      <c r="M561" s="3">
        <v>8400</v>
      </c>
      <c r="N561" s="5">
        <v>0.4</v>
      </c>
    </row>
    <row r="562" spans="1:14" x14ac:dyDescent="0.3">
      <c r="A562" t="s">
        <v>748</v>
      </c>
      <c r="B562" s="2">
        <v>45791</v>
      </c>
      <c r="C562" t="s">
        <v>418</v>
      </c>
      <c r="D562" t="s">
        <v>22</v>
      </c>
      <c r="E562" t="s">
        <v>36</v>
      </c>
      <c r="F562" t="s">
        <v>24</v>
      </c>
      <c r="G562" t="s">
        <v>29</v>
      </c>
      <c r="H562">
        <v>16</v>
      </c>
      <c r="I562" s="3">
        <v>12000</v>
      </c>
      <c r="J562" s="3">
        <v>16500</v>
      </c>
      <c r="K562" s="3">
        <v>264000</v>
      </c>
      <c r="L562" s="3">
        <v>192000</v>
      </c>
      <c r="M562" s="3">
        <v>72000</v>
      </c>
      <c r="N562" s="5">
        <v>0.27272727272727271</v>
      </c>
    </row>
    <row r="563" spans="1:14" x14ac:dyDescent="0.3">
      <c r="A563" t="s">
        <v>749</v>
      </c>
      <c r="B563" s="2">
        <v>45902</v>
      </c>
      <c r="C563" t="s">
        <v>538</v>
      </c>
      <c r="D563" t="s">
        <v>35</v>
      </c>
      <c r="E563" t="s">
        <v>28</v>
      </c>
      <c r="F563" t="s">
        <v>24</v>
      </c>
      <c r="G563" t="s">
        <v>29</v>
      </c>
      <c r="H563">
        <v>17</v>
      </c>
      <c r="I563" s="3">
        <v>12000</v>
      </c>
      <c r="J563" s="3">
        <v>16500</v>
      </c>
      <c r="K563" s="3">
        <v>280500</v>
      </c>
      <c r="L563" s="3">
        <v>204000</v>
      </c>
      <c r="M563" s="3">
        <v>76500</v>
      </c>
      <c r="N563" s="5">
        <v>0.27272727272727271</v>
      </c>
    </row>
    <row r="564" spans="1:14" x14ac:dyDescent="0.3">
      <c r="A564" t="s">
        <v>750</v>
      </c>
      <c r="B564" s="2">
        <v>45685</v>
      </c>
      <c r="C564" t="s">
        <v>346</v>
      </c>
      <c r="D564" t="s">
        <v>35</v>
      </c>
      <c r="E564" t="s">
        <v>23</v>
      </c>
      <c r="F564" t="s">
        <v>47</v>
      </c>
      <c r="G564" t="s">
        <v>48</v>
      </c>
      <c r="H564">
        <v>15</v>
      </c>
      <c r="I564" s="3">
        <v>2800</v>
      </c>
      <c r="J564" s="3">
        <v>4200</v>
      </c>
      <c r="K564" s="3">
        <v>63000</v>
      </c>
      <c r="L564" s="3">
        <v>42000</v>
      </c>
      <c r="M564" s="3">
        <v>21000</v>
      </c>
      <c r="N564" s="5">
        <v>0.33333333333333331</v>
      </c>
    </row>
    <row r="565" spans="1:14" x14ac:dyDescent="0.3">
      <c r="A565" t="s">
        <v>751</v>
      </c>
      <c r="B565" s="2">
        <v>45963</v>
      </c>
      <c r="C565" t="s">
        <v>85</v>
      </c>
      <c r="D565" t="s">
        <v>22</v>
      </c>
      <c r="E565" t="s">
        <v>23</v>
      </c>
      <c r="F565" t="s">
        <v>24</v>
      </c>
      <c r="G565" t="s">
        <v>63</v>
      </c>
      <c r="H565">
        <v>16</v>
      </c>
      <c r="I565" s="3">
        <v>42000</v>
      </c>
      <c r="J565" s="3">
        <v>55000</v>
      </c>
      <c r="K565" s="3">
        <v>880000</v>
      </c>
      <c r="L565" s="3">
        <v>672000</v>
      </c>
      <c r="M565" s="3">
        <v>208000</v>
      </c>
      <c r="N565" s="5">
        <v>0.23636363636363639</v>
      </c>
    </row>
    <row r="566" spans="1:14" x14ac:dyDescent="0.3">
      <c r="A566" t="s">
        <v>752</v>
      </c>
      <c r="B566" s="2">
        <v>45883</v>
      </c>
      <c r="C566" t="s">
        <v>149</v>
      </c>
      <c r="D566" t="s">
        <v>16</v>
      </c>
      <c r="E566" t="s">
        <v>32</v>
      </c>
      <c r="F566" t="s">
        <v>24</v>
      </c>
      <c r="G566" t="s">
        <v>63</v>
      </c>
      <c r="H566">
        <v>7</v>
      </c>
      <c r="I566" s="3">
        <v>42000</v>
      </c>
      <c r="J566" s="3">
        <v>55000</v>
      </c>
      <c r="K566" s="3">
        <v>385000</v>
      </c>
      <c r="L566" s="3">
        <v>294000</v>
      </c>
      <c r="M566" s="3">
        <v>91000</v>
      </c>
      <c r="N566" s="5">
        <v>0.23636363636363639</v>
      </c>
    </row>
    <row r="567" spans="1:14" x14ac:dyDescent="0.3">
      <c r="A567" t="s">
        <v>753</v>
      </c>
      <c r="B567" s="2">
        <v>45831</v>
      </c>
      <c r="C567" t="s">
        <v>44</v>
      </c>
      <c r="D567" t="s">
        <v>22</v>
      </c>
      <c r="E567" t="s">
        <v>55</v>
      </c>
      <c r="F567" t="s">
        <v>18</v>
      </c>
      <c r="G567" t="s">
        <v>76</v>
      </c>
      <c r="H567">
        <v>10</v>
      </c>
      <c r="I567" s="3">
        <v>2500</v>
      </c>
      <c r="J567" s="3">
        <v>3600</v>
      </c>
      <c r="K567" s="3">
        <v>36000</v>
      </c>
      <c r="L567" s="3">
        <v>25000</v>
      </c>
      <c r="M567" s="3">
        <v>11000</v>
      </c>
      <c r="N567" s="5">
        <v>0.30555555555555558</v>
      </c>
    </row>
    <row r="568" spans="1:14" x14ac:dyDescent="0.3">
      <c r="A568" t="s">
        <v>754</v>
      </c>
      <c r="B568" s="2">
        <v>45850</v>
      </c>
      <c r="C568" t="s">
        <v>156</v>
      </c>
      <c r="D568" t="s">
        <v>22</v>
      </c>
      <c r="E568" t="s">
        <v>32</v>
      </c>
      <c r="F568" t="s">
        <v>24</v>
      </c>
      <c r="G568" t="s">
        <v>25</v>
      </c>
      <c r="H568">
        <v>20</v>
      </c>
      <c r="I568" s="3">
        <v>15000</v>
      </c>
      <c r="J568" s="3">
        <v>19500</v>
      </c>
      <c r="K568" s="3">
        <v>390000</v>
      </c>
      <c r="L568" s="3">
        <v>300000</v>
      </c>
      <c r="M568" s="3">
        <v>90000</v>
      </c>
      <c r="N568" s="5">
        <v>0.23076923076923081</v>
      </c>
    </row>
    <row r="569" spans="1:14" x14ac:dyDescent="0.3">
      <c r="A569" t="s">
        <v>755</v>
      </c>
      <c r="B569" s="2">
        <v>45896</v>
      </c>
      <c r="C569" t="s">
        <v>435</v>
      </c>
      <c r="D569" t="s">
        <v>22</v>
      </c>
      <c r="E569" t="s">
        <v>55</v>
      </c>
      <c r="F569" t="s">
        <v>47</v>
      </c>
      <c r="G569" t="s">
        <v>48</v>
      </c>
      <c r="H569">
        <v>1</v>
      </c>
      <c r="I569" s="3">
        <v>2800</v>
      </c>
      <c r="J569" s="3">
        <v>4200</v>
      </c>
      <c r="K569" s="3">
        <v>4200</v>
      </c>
      <c r="L569" s="3">
        <v>2800</v>
      </c>
      <c r="M569" s="3">
        <v>1400</v>
      </c>
      <c r="N569" s="5">
        <v>0.33333333333333331</v>
      </c>
    </row>
    <row r="570" spans="1:14" x14ac:dyDescent="0.3">
      <c r="A570" t="s">
        <v>756</v>
      </c>
      <c r="B570" s="2">
        <v>45891</v>
      </c>
      <c r="C570" t="s">
        <v>93</v>
      </c>
      <c r="D570" t="s">
        <v>40</v>
      </c>
      <c r="E570" t="s">
        <v>36</v>
      </c>
      <c r="F570" t="s">
        <v>47</v>
      </c>
      <c r="G570" t="s">
        <v>48</v>
      </c>
      <c r="H570">
        <v>14</v>
      </c>
      <c r="I570" s="3">
        <v>2800</v>
      </c>
      <c r="J570" s="3">
        <v>4200</v>
      </c>
      <c r="K570" s="3">
        <v>58800</v>
      </c>
      <c r="L570" s="3">
        <v>39200</v>
      </c>
      <c r="M570" s="3">
        <v>19600</v>
      </c>
      <c r="N570" s="5">
        <v>0.33333333333333331</v>
      </c>
    </row>
    <row r="571" spans="1:14" x14ac:dyDescent="0.3">
      <c r="A571" t="s">
        <v>757</v>
      </c>
      <c r="B571" s="2">
        <v>45729</v>
      </c>
      <c r="C571" t="s">
        <v>140</v>
      </c>
      <c r="D571" t="s">
        <v>46</v>
      </c>
      <c r="E571" t="s">
        <v>23</v>
      </c>
      <c r="F571" t="s">
        <v>24</v>
      </c>
      <c r="G571" t="s">
        <v>29</v>
      </c>
      <c r="H571">
        <v>10</v>
      </c>
      <c r="I571" s="3">
        <v>12000</v>
      </c>
      <c r="J571" s="3">
        <v>16500</v>
      </c>
      <c r="K571" s="3">
        <v>165000</v>
      </c>
      <c r="L571" s="3">
        <v>120000</v>
      </c>
      <c r="M571" s="3">
        <v>45000</v>
      </c>
      <c r="N571" s="5">
        <v>0.27272727272727271</v>
      </c>
    </row>
    <row r="572" spans="1:14" x14ac:dyDescent="0.3">
      <c r="A572" t="s">
        <v>758</v>
      </c>
      <c r="B572" s="2">
        <v>45962</v>
      </c>
      <c r="C572" t="s">
        <v>213</v>
      </c>
      <c r="D572" t="s">
        <v>40</v>
      </c>
      <c r="E572" t="s">
        <v>28</v>
      </c>
      <c r="F572" t="s">
        <v>24</v>
      </c>
      <c r="G572" t="s">
        <v>63</v>
      </c>
      <c r="H572">
        <v>3</v>
      </c>
      <c r="I572" s="3">
        <v>42000</v>
      </c>
      <c r="J572" s="3">
        <v>55000</v>
      </c>
      <c r="K572" s="3">
        <v>165000</v>
      </c>
      <c r="L572" s="3">
        <v>126000</v>
      </c>
      <c r="M572" s="3">
        <v>39000</v>
      </c>
      <c r="N572" s="5">
        <v>0.23636363636363639</v>
      </c>
    </row>
    <row r="573" spans="1:14" x14ac:dyDescent="0.3">
      <c r="A573" t="s">
        <v>759</v>
      </c>
      <c r="B573" s="2">
        <v>45859</v>
      </c>
      <c r="C573" t="s">
        <v>435</v>
      </c>
      <c r="D573" t="s">
        <v>46</v>
      </c>
      <c r="E573" t="s">
        <v>32</v>
      </c>
      <c r="F573" t="s">
        <v>18</v>
      </c>
      <c r="G573" t="s">
        <v>72</v>
      </c>
      <c r="H573">
        <v>6</v>
      </c>
      <c r="I573" s="3">
        <v>900</v>
      </c>
      <c r="J573" s="3">
        <v>1500</v>
      </c>
      <c r="K573" s="3">
        <v>9000</v>
      </c>
      <c r="L573" s="3">
        <v>5400</v>
      </c>
      <c r="M573" s="3">
        <v>3600</v>
      </c>
      <c r="N573" s="5">
        <v>0.4</v>
      </c>
    </row>
    <row r="574" spans="1:14" x14ac:dyDescent="0.3">
      <c r="A574" t="s">
        <v>760</v>
      </c>
      <c r="B574" s="2">
        <v>45894</v>
      </c>
      <c r="C574" t="s">
        <v>367</v>
      </c>
      <c r="D574" t="s">
        <v>35</v>
      </c>
      <c r="E574" t="s">
        <v>23</v>
      </c>
      <c r="F574" t="s">
        <v>18</v>
      </c>
      <c r="G574" t="s">
        <v>72</v>
      </c>
      <c r="H574">
        <v>20</v>
      </c>
      <c r="I574" s="3">
        <v>900</v>
      </c>
      <c r="J574" s="3">
        <v>1500</v>
      </c>
      <c r="K574" s="3">
        <v>30000</v>
      </c>
      <c r="L574" s="3">
        <v>18000</v>
      </c>
      <c r="M574" s="3">
        <v>12000</v>
      </c>
      <c r="N574" s="5">
        <v>0.4</v>
      </c>
    </row>
    <row r="575" spans="1:14" x14ac:dyDescent="0.3">
      <c r="A575" t="s">
        <v>761</v>
      </c>
      <c r="B575" s="2">
        <v>45675</v>
      </c>
      <c r="C575" t="s">
        <v>257</v>
      </c>
      <c r="D575" t="s">
        <v>22</v>
      </c>
      <c r="E575" t="s">
        <v>55</v>
      </c>
      <c r="F575" t="s">
        <v>18</v>
      </c>
      <c r="G575" t="s">
        <v>19</v>
      </c>
      <c r="H575">
        <v>18</v>
      </c>
      <c r="I575" s="3">
        <v>1800</v>
      </c>
      <c r="J575" s="3">
        <v>2600</v>
      </c>
      <c r="K575" s="3">
        <v>46800</v>
      </c>
      <c r="L575" s="3">
        <v>32400</v>
      </c>
      <c r="M575" s="3">
        <v>14400</v>
      </c>
      <c r="N575" s="5">
        <v>0.30769230769230771</v>
      </c>
    </row>
    <row r="576" spans="1:14" x14ac:dyDescent="0.3">
      <c r="A576" t="s">
        <v>762</v>
      </c>
      <c r="B576" s="2">
        <v>45946</v>
      </c>
      <c r="C576" t="s">
        <v>407</v>
      </c>
      <c r="D576" t="s">
        <v>46</v>
      </c>
      <c r="E576" t="s">
        <v>32</v>
      </c>
      <c r="F576" t="s">
        <v>41</v>
      </c>
      <c r="G576" t="s">
        <v>42</v>
      </c>
      <c r="H576">
        <v>5</v>
      </c>
      <c r="I576" s="3">
        <v>8500</v>
      </c>
      <c r="J576" s="3">
        <v>12000</v>
      </c>
      <c r="K576" s="3">
        <v>60000</v>
      </c>
      <c r="L576" s="3">
        <v>42500</v>
      </c>
      <c r="M576" s="3">
        <v>17500</v>
      </c>
      <c r="N576" s="5">
        <v>0.29166666666666669</v>
      </c>
    </row>
    <row r="577" spans="1:14" x14ac:dyDescent="0.3">
      <c r="A577" t="s">
        <v>763</v>
      </c>
      <c r="B577" s="2">
        <v>45847</v>
      </c>
      <c r="C577" t="s">
        <v>136</v>
      </c>
      <c r="D577" t="s">
        <v>16</v>
      </c>
      <c r="E577" t="s">
        <v>55</v>
      </c>
      <c r="F577" t="s">
        <v>18</v>
      </c>
      <c r="G577" t="s">
        <v>72</v>
      </c>
      <c r="H577">
        <v>9</v>
      </c>
      <c r="I577" s="3">
        <v>900</v>
      </c>
      <c r="J577" s="3">
        <v>1500</v>
      </c>
      <c r="K577" s="3">
        <v>13500</v>
      </c>
      <c r="L577" s="3">
        <v>8100</v>
      </c>
      <c r="M577" s="3">
        <v>5400</v>
      </c>
      <c r="N577" s="5">
        <v>0.4</v>
      </c>
    </row>
    <row r="578" spans="1:14" x14ac:dyDescent="0.3">
      <c r="A578" t="s">
        <v>764</v>
      </c>
      <c r="B578" s="2">
        <v>45773</v>
      </c>
      <c r="C578" t="s">
        <v>80</v>
      </c>
      <c r="D578" t="s">
        <v>22</v>
      </c>
      <c r="E578" t="s">
        <v>28</v>
      </c>
      <c r="F578" t="s">
        <v>18</v>
      </c>
      <c r="G578" t="s">
        <v>76</v>
      </c>
      <c r="H578">
        <v>3</v>
      </c>
      <c r="I578" s="3">
        <v>2500</v>
      </c>
      <c r="J578" s="3">
        <v>3600</v>
      </c>
      <c r="K578" s="3">
        <v>10800</v>
      </c>
      <c r="L578" s="3">
        <v>7500</v>
      </c>
      <c r="M578" s="3">
        <v>3300</v>
      </c>
      <c r="N578" s="5">
        <v>0.30555555555555558</v>
      </c>
    </row>
    <row r="579" spans="1:14" x14ac:dyDescent="0.3">
      <c r="A579" t="s">
        <v>765</v>
      </c>
      <c r="B579" s="2">
        <v>45739</v>
      </c>
      <c r="C579" t="s">
        <v>379</v>
      </c>
      <c r="D579" t="s">
        <v>40</v>
      </c>
      <c r="E579" t="s">
        <v>32</v>
      </c>
      <c r="F579" t="s">
        <v>18</v>
      </c>
      <c r="G579" t="s">
        <v>37</v>
      </c>
      <c r="H579">
        <v>15</v>
      </c>
      <c r="I579" s="3">
        <v>400</v>
      </c>
      <c r="J579" s="3">
        <v>650</v>
      </c>
      <c r="K579" s="3">
        <v>9750</v>
      </c>
      <c r="L579" s="3">
        <v>6000</v>
      </c>
      <c r="M579" s="3">
        <v>3750</v>
      </c>
      <c r="N579" s="5">
        <v>0.38461538461538458</v>
      </c>
    </row>
    <row r="580" spans="1:14" x14ac:dyDescent="0.3">
      <c r="A580" t="s">
        <v>766</v>
      </c>
      <c r="B580" s="2">
        <v>45658</v>
      </c>
      <c r="C580" t="s">
        <v>545</v>
      </c>
      <c r="D580" t="s">
        <v>22</v>
      </c>
      <c r="E580" t="s">
        <v>23</v>
      </c>
      <c r="F580" t="s">
        <v>41</v>
      </c>
      <c r="G580" t="s">
        <v>42</v>
      </c>
      <c r="H580">
        <v>12</v>
      </c>
      <c r="I580" s="3">
        <v>8500</v>
      </c>
      <c r="J580" s="3">
        <v>12000</v>
      </c>
      <c r="K580" s="3">
        <v>144000</v>
      </c>
      <c r="L580" s="3">
        <v>102000</v>
      </c>
      <c r="M580" s="3">
        <v>42000</v>
      </c>
      <c r="N580" s="5">
        <v>0.29166666666666669</v>
      </c>
    </row>
    <row r="581" spans="1:14" x14ac:dyDescent="0.3">
      <c r="A581" t="s">
        <v>767</v>
      </c>
      <c r="B581" s="2">
        <v>45873</v>
      </c>
      <c r="C581" t="s">
        <v>175</v>
      </c>
      <c r="D581" t="s">
        <v>40</v>
      </c>
      <c r="E581" t="s">
        <v>36</v>
      </c>
      <c r="F581" t="s">
        <v>41</v>
      </c>
      <c r="G581" t="s">
        <v>42</v>
      </c>
      <c r="H581">
        <v>20</v>
      </c>
      <c r="I581" s="3">
        <v>8500</v>
      </c>
      <c r="J581" s="3">
        <v>12000</v>
      </c>
      <c r="K581" s="3">
        <v>240000</v>
      </c>
      <c r="L581" s="3">
        <v>170000</v>
      </c>
      <c r="M581" s="3">
        <v>70000</v>
      </c>
      <c r="N581" s="5">
        <v>0.29166666666666669</v>
      </c>
    </row>
    <row r="582" spans="1:14" x14ac:dyDescent="0.3">
      <c r="A582" t="s">
        <v>768</v>
      </c>
      <c r="B582" s="2">
        <v>45803</v>
      </c>
      <c r="C582" t="s">
        <v>95</v>
      </c>
      <c r="D582" t="s">
        <v>40</v>
      </c>
      <c r="E582" t="s">
        <v>36</v>
      </c>
      <c r="F582" t="s">
        <v>18</v>
      </c>
      <c r="G582" t="s">
        <v>72</v>
      </c>
      <c r="H582">
        <v>20</v>
      </c>
      <c r="I582" s="3">
        <v>900</v>
      </c>
      <c r="J582" s="3">
        <v>1500</v>
      </c>
      <c r="K582" s="3">
        <v>30000</v>
      </c>
      <c r="L582" s="3">
        <v>18000</v>
      </c>
      <c r="M582" s="3">
        <v>12000</v>
      </c>
      <c r="N582" s="5">
        <v>0.4</v>
      </c>
    </row>
    <row r="583" spans="1:14" x14ac:dyDescent="0.3">
      <c r="A583" t="s">
        <v>769</v>
      </c>
      <c r="B583" s="2">
        <v>45789</v>
      </c>
      <c r="C583" t="s">
        <v>106</v>
      </c>
      <c r="D583" t="s">
        <v>22</v>
      </c>
      <c r="E583" t="s">
        <v>17</v>
      </c>
      <c r="F583" t="s">
        <v>18</v>
      </c>
      <c r="G583" t="s">
        <v>37</v>
      </c>
      <c r="H583">
        <v>13</v>
      </c>
      <c r="I583" s="3">
        <v>400</v>
      </c>
      <c r="J583" s="3">
        <v>650</v>
      </c>
      <c r="K583" s="3">
        <v>8450</v>
      </c>
      <c r="L583" s="3">
        <v>5200</v>
      </c>
      <c r="M583" s="3">
        <v>3250</v>
      </c>
      <c r="N583" s="5">
        <v>0.38461538461538458</v>
      </c>
    </row>
    <row r="584" spans="1:14" x14ac:dyDescent="0.3">
      <c r="A584" t="s">
        <v>770</v>
      </c>
      <c r="B584" s="2">
        <v>45924</v>
      </c>
      <c r="C584" t="s">
        <v>110</v>
      </c>
      <c r="D584" t="s">
        <v>22</v>
      </c>
      <c r="E584" t="s">
        <v>55</v>
      </c>
      <c r="F584" t="s">
        <v>18</v>
      </c>
      <c r="G584" t="s">
        <v>76</v>
      </c>
      <c r="H584">
        <v>9</v>
      </c>
      <c r="I584" s="3">
        <v>2500</v>
      </c>
      <c r="J584" s="3">
        <v>3600</v>
      </c>
      <c r="K584" s="3">
        <v>32400</v>
      </c>
      <c r="L584" s="3">
        <v>22500</v>
      </c>
      <c r="M584" s="3">
        <v>9900</v>
      </c>
      <c r="N584" s="5">
        <v>0.30555555555555558</v>
      </c>
    </row>
    <row r="585" spans="1:14" x14ac:dyDescent="0.3">
      <c r="A585" t="s">
        <v>771</v>
      </c>
      <c r="B585" s="2">
        <v>45991</v>
      </c>
      <c r="C585" t="s">
        <v>238</v>
      </c>
      <c r="D585" t="s">
        <v>40</v>
      </c>
      <c r="E585" t="s">
        <v>36</v>
      </c>
      <c r="F585" t="s">
        <v>24</v>
      </c>
      <c r="G585" t="s">
        <v>29</v>
      </c>
      <c r="H585">
        <v>20</v>
      </c>
      <c r="I585" s="3">
        <v>12000</v>
      </c>
      <c r="J585" s="3">
        <v>16500</v>
      </c>
      <c r="K585" s="3">
        <v>330000</v>
      </c>
      <c r="L585" s="3">
        <v>240000</v>
      </c>
      <c r="M585" s="3">
        <v>90000</v>
      </c>
      <c r="N585" s="5">
        <v>0.27272727272727271</v>
      </c>
    </row>
    <row r="586" spans="1:14" x14ac:dyDescent="0.3">
      <c r="A586" t="s">
        <v>772</v>
      </c>
      <c r="B586" s="2">
        <v>45790</v>
      </c>
      <c r="C586" t="s">
        <v>498</v>
      </c>
      <c r="D586" t="s">
        <v>40</v>
      </c>
      <c r="E586" t="s">
        <v>55</v>
      </c>
      <c r="F586" t="s">
        <v>18</v>
      </c>
      <c r="G586" t="s">
        <v>72</v>
      </c>
      <c r="H586">
        <v>19</v>
      </c>
      <c r="I586" s="3">
        <v>900</v>
      </c>
      <c r="J586" s="3">
        <v>1500</v>
      </c>
      <c r="K586" s="3">
        <v>28500</v>
      </c>
      <c r="L586" s="3">
        <v>17100</v>
      </c>
      <c r="M586" s="3">
        <v>11400</v>
      </c>
      <c r="N586" s="5">
        <v>0.4</v>
      </c>
    </row>
    <row r="587" spans="1:14" x14ac:dyDescent="0.3">
      <c r="A587" t="s">
        <v>773</v>
      </c>
      <c r="B587" s="2">
        <v>45735</v>
      </c>
      <c r="C587" t="s">
        <v>144</v>
      </c>
      <c r="D587" t="s">
        <v>16</v>
      </c>
      <c r="E587" t="s">
        <v>28</v>
      </c>
      <c r="F587" t="s">
        <v>41</v>
      </c>
      <c r="G587" t="s">
        <v>42</v>
      </c>
      <c r="H587">
        <v>1</v>
      </c>
      <c r="I587" s="3">
        <v>8500</v>
      </c>
      <c r="J587" s="3">
        <v>12000</v>
      </c>
      <c r="K587" s="3">
        <v>12000</v>
      </c>
      <c r="L587" s="3">
        <v>8500</v>
      </c>
      <c r="M587" s="3">
        <v>3500</v>
      </c>
      <c r="N587" s="5">
        <v>0.29166666666666669</v>
      </c>
    </row>
    <row r="588" spans="1:14" x14ac:dyDescent="0.3">
      <c r="A588" t="s">
        <v>774</v>
      </c>
      <c r="B588" s="2">
        <v>45704</v>
      </c>
      <c r="C588" t="s">
        <v>396</v>
      </c>
      <c r="D588" t="s">
        <v>40</v>
      </c>
      <c r="E588" t="s">
        <v>28</v>
      </c>
      <c r="F588" t="s">
        <v>18</v>
      </c>
      <c r="G588" t="s">
        <v>76</v>
      </c>
      <c r="H588">
        <v>17</v>
      </c>
      <c r="I588" s="3">
        <v>2500</v>
      </c>
      <c r="J588" s="3">
        <v>3600</v>
      </c>
      <c r="K588" s="3">
        <v>61200</v>
      </c>
      <c r="L588" s="3">
        <v>42500</v>
      </c>
      <c r="M588" s="3">
        <v>18700</v>
      </c>
      <c r="N588" s="5">
        <v>0.30555555555555558</v>
      </c>
    </row>
    <row r="589" spans="1:14" x14ac:dyDescent="0.3">
      <c r="A589" t="s">
        <v>775</v>
      </c>
      <c r="B589" s="2">
        <v>45934</v>
      </c>
      <c r="C589" t="s">
        <v>59</v>
      </c>
      <c r="D589" t="s">
        <v>16</v>
      </c>
      <c r="E589" t="s">
        <v>17</v>
      </c>
      <c r="F589" t="s">
        <v>18</v>
      </c>
      <c r="G589" t="s">
        <v>19</v>
      </c>
      <c r="H589">
        <v>5</v>
      </c>
      <c r="I589" s="3">
        <v>1800</v>
      </c>
      <c r="J589" s="3">
        <v>2600</v>
      </c>
      <c r="K589" s="3">
        <v>13000</v>
      </c>
      <c r="L589" s="3">
        <v>9000</v>
      </c>
      <c r="M589" s="3">
        <v>4000</v>
      </c>
      <c r="N589" s="5">
        <v>0.30769230769230771</v>
      </c>
    </row>
    <row r="590" spans="1:14" x14ac:dyDescent="0.3">
      <c r="A590" t="s">
        <v>776</v>
      </c>
      <c r="B590" s="2">
        <v>45848</v>
      </c>
      <c r="C590" t="s">
        <v>530</v>
      </c>
      <c r="D590" t="s">
        <v>16</v>
      </c>
      <c r="E590" t="s">
        <v>55</v>
      </c>
      <c r="F590" t="s">
        <v>18</v>
      </c>
      <c r="G590" t="s">
        <v>37</v>
      </c>
      <c r="H590">
        <v>4</v>
      </c>
      <c r="I590" s="3">
        <v>400</v>
      </c>
      <c r="J590" s="3">
        <v>650</v>
      </c>
      <c r="K590" s="3">
        <v>2600</v>
      </c>
      <c r="L590" s="3">
        <v>1600</v>
      </c>
      <c r="M590" s="3">
        <v>1000</v>
      </c>
      <c r="N590" s="5">
        <v>0.38461538461538458</v>
      </c>
    </row>
    <row r="591" spans="1:14" x14ac:dyDescent="0.3">
      <c r="A591" t="s">
        <v>777</v>
      </c>
      <c r="B591" s="2">
        <v>45700</v>
      </c>
      <c r="C591" t="s">
        <v>87</v>
      </c>
      <c r="D591" t="s">
        <v>35</v>
      </c>
      <c r="E591" t="s">
        <v>17</v>
      </c>
      <c r="F591" t="s">
        <v>47</v>
      </c>
      <c r="G591" t="s">
        <v>48</v>
      </c>
      <c r="H591">
        <v>12</v>
      </c>
      <c r="I591" s="3">
        <v>2800</v>
      </c>
      <c r="J591" s="3">
        <v>4200</v>
      </c>
      <c r="K591" s="3">
        <v>50400</v>
      </c>
      <c r="L591" s="3">
        <v>33600</v>
      </c>
      <c r="M591" s="3">
        <v>16800</v>
      </c>
      <c r="N591" s="5">
        <v>0.33333333333333331</v>
      </c>
    </row>
    <row r="592" spans="1:14" x14ac:dyDescent="0.3">
      <c r="A592" t="s">
        <v>778</v>
      </c>
      <c r="B592" s="2">
        <v>45660</v>
      </c>
      <c r="C592" t="s">
        <v>472</v>
      </c>
      <c r="D592" t="s">
        <v>46</v>
      </c>
      <c r="E592" t="s">
        <v>23</v>
      </c>
      <c r="F592" t="s">
        <v>18</v>
      </c>
      <c r="G592" t="s">
        <v>72</v>
      </c>
      <c r="H592">
        <v>7</v>
      </c>
      <c r="I592" s="3">
        <v>900</v>
      </c>
      <c r="J592" s="3">
        <v>1500</v>
      </c>
      <c r="K592" s="3">
        <v>10500</v>
      </c>
      <c r="L592" s="3">
        <v>6300</v>
      </c>
      <c r="M592" s="3">
        <v>4200</v>
      </c>
      <c r="N592" s="5">
        <v>0.4</v>
      </c>
    </row>
    <row r="593" spans="1:14" x14ac:dyDescent="0.3">
      <c r="A593" t="s">
        <v>779</v>
      </c>
      <c r="B593" s="2">
        <v>46014</v>
      </c>
      <c r="C593" t="s">
        <v>69</v>
      </c>
      <c r="D593" t="s">
        <v>16</v>
      </c>
      <c r="E593" t="s">
        <v>17</v>
      </c>
      <c r="F593" t="s">
        <v>24</v>
      </c>
      <c r="G593" t="s">
        <v>29</v>
      </c>
      <c r="H593">
        <v>12</v>
      </c>
      <c r="I593" s="3">
        <v>12000</v>
      </c>
      <c r="J593" s="3">
        <v>16500</v>
      </c>
      <c r="K593" s="3">
        <v>198000</v>
      </c>
      <c r="L593" s="3">
        <v>144000</v>
      </c>
      <c r="M593" s="3">
        <v>54000</v>
      </c>
      <c r="N593" s="5">
        <v>0.27272727272727271</v>
      </c>
    </row>
    <row r="594" spans="1:14" x14ac:dyDescent="0.3">
      <c r="A594" t="s">
        <v>780</v>
      </c>
      <c r="B594" s="2">
        <v>45686</v>
      </c>
      <c r="C594" t="s">
        <v>472</v>
      </c>
      <c r="D594" t="s">
        <v>35</v>
      </c>
      <c r="E594" t="s">
        <v>36</v>
      </c>
      <c r="F594" t="s">
        <v>41</v>
      </c>
      <c r="G594" t="s">
        <v>42</v>
      </c>
      <c r="H594">
        <v>3</v>
      </c>
      <c r="I594" s="3">
        <v>8500</v>
      </c>
      <c r="J594" s="3">
        <v>12000</v>
      </c>
      <c r="K594" s="3">
        <v>36000</v>
      </c>
      <c r="L594" s="3">
        <v>25500</v>
      </c>
      <c r="M594" s="3">
        <v>10500</v>
      </c>
      <c r="N594" s="5">
        <v>0.29166666666666669</v>
      </c>
    </row>
    <row r="595" spans="1:14" x14ac:dyDescent="0.3">
      <c r="A595" t="s">
        <v>781</v>
      </c>
      <c r="B595" s="2">
        <v>45669</v>
      </c>
      <c r="C595" t="s">
        <v>136</v>
      </c>
      <c r="D595" t="s">
        <v>22</v>
      </c>
      <c r="E595" t="s">
        <v>36</v>
      </c>
      <c r="F595" t="s">
        <v>18</v>
      </c>
      <c r="G595" t="s">
        <v>37</v>
      </c>
      <c r="H595">
        <v>12</v>
      </c>
      <c r="I595" s="3">
        <v>400</v>
      </c>
      <c r="J595" s="3">
        <v>650</v>
      </c>
      <c r="K595" s="3">
        <v>7800</v>
      </c>
      <c r="L595" s="3">
        <v>4800</v>
      </c>
      <c r="M595" s="3">
        <v>3000</v>
      </c>
      <c r="N595" s="5">
        <v>0.38461538461538458</v>
      </c>
    </row>
    <row r="596" spans="1:14" x14ac:dyDescent="0.3">
      <c r="A596" t="s">
        <v>782</v>
      </c>
      <c r="B596" s="2">
        <v>45931</v>
      </c>
      <c r="C596" t="s">
        <v>274</v>
      </c>
      <c r="D596" t="s">
        <v>35</v>
      </c>
      <c r="E596" t="s">
        <v>28</v>
      </c>
      <c r="F596" t="s">
        <v>24</v>
      </c>
      <c r="G596" t="s">
        <v>29</v>
      </c>
      <c r="H596">
        <v>14</v>
      </c>
      <c r="I596" s="3">
        <v>12000</v>
      </c>
      <c r="J596" s="3">
        <v>16500</v>
      </c>
      <c r="K596" s="3">
        <v>231000</v>
      </c>
      <c r="L596" s="3">
        <v>168000</v>
      </c>
      <c r="M596" s="3">
        <v>63000</v>
      </c>
      <c r="N596" s="5">
        <v>0.27272727272727271</v>
      </c>
    </row>
    <row r="597" spans="1:14" x14ac:dyDescent="0.3">
      <c r="A597" t="s">
        <v>783</v>
      </c>
      <c r="B597" s="2">
        <v>45955</v>
      </c>
      <c r="C597" t="s">
        <v>191</v>
      </c>
      <c r="D597" t="s">
        <v>46</v>
      </c>
      <c r="E597" t="s">
        <v>28</v>
      </c>
      <c r="F597" t="s">
        <v>24</v>
      </c>
      <c r="G597" t="s">
        <v>63</v>
      </c>
      <c r="H597">
        <v>7</v>
      </c>
      <c r="I597" s="3">
        <v>42000</v>
      </c>
      <c r="J597" s="3">
        <v>55000</v>
      </c>
      <c r="K597" s="3">
        <v>385000</v>
      </c>
      <c r="L597" s="3">
        <v>294000</v>
      </c>
      <c r="M597" s="3">
        <v>91000</v>
      </c>
      <c r="N597" s="5">
        <v>0.23636363636363639</v>
      </c>
    </row>
    <row r="598" spans="1:14" x14ac:dyDescent="0.3">
      <c r="A598" t="s">
        <v>784</v>
      </c>
      <c r="B598" s="2">
        <v>45727</v>
      </c>
      <c r="C598" t="s">
        <v>461</v>
      </c>
      <c r="D598" t="s">
        <v>35</v>
      </c>
      <c r="E598" t="s">
        <v>32</v>
      </c>
      <c r="F598" t="s">
        <v>24</v>
      </c>
      <c r="G598" t="s">
        <v>29</v>
      </c>
      <c r="H598">
        <v>12</v>
      </c>
      <c r="I598" s="3">
        <v>12000</v>
      </c>
      <c r="J598" s="3">
        <v>16500</v>
      </c>
      <c r="K598" s="3">
        <v>198000</v>
      </c>
      <c r="L598" s="3">
        <v>144000</v>
      </c>
      <c r="M598" s="3">
        <v>54000</v>
      </c>
      <c r="N598" s="5">
        <v>0.27272727272727271</v>
      </c>
    </row>
    <row r="599" spans="1:14" x14ac:dyDescent="0.3">
      <c r="A599" t="s">
        <v>785</v>
      </c>
      <c r="B599" s="2">
        <v>45881</v>
      </c>
      <c r="C599" t="s">
        <v>108</v>
      </c>
      <c r="D599" t="s">
        <v>16</v>
      </c>
      <c r="E599" t="s">
        <v>36</v>
      </c>
      <c r="F599" t="s">
        <v>18</v>
      </c>
      <c r="G599" t="s">
        <v>19</v>
      </c>
      <c r="H599">
        <v>20</v>
      </c>
      <c r="I599" s="3">
        <v>1800</v>
      </c>
      <c r="J599" s="3">
        <v>2600</v>
      </c>
      <c r="K599" s="3">
        <v>52000</v>
      </c>
      <c r="L599" s="3">
        <v>36000</v>
      </c>
      <c r="M599" s="3">
        <v>16000</v>
      </c>
      <c r="N599" s="5">
        <v>0.30769230769230771</v>
      </c>
    </row>
    <row r="600" spans="1:14" x14ac:dyDescent="0.3">
      <c r="A600" t="s">
        <v>786</v>
      </c>
      <c r="B600" s="2">
        <v>45674</v>
      </c>
      <c r="C600" t="s">
        <v>307</v>
      </c>
      <c r="D600" t="s">
        <v>16</v>
      </c>
      <c r="E600" t="s">
        <v>28</v>
      </c>
      <c r="F600" t="s">
        <v>18</v>
      </c>
      <c r="G600" t="s">
        <v>19</v>
      </c>
      <c r="H600">
        <v>10</v>
      </c>
      <c r="I600" s="3">
        <v>1800</v>
      </c>
      <c r="J600" s="3">
        <v>2600</v>
      </c>
      <c r="K600" s="3">
        <v>26000</v>
      </c>
      <c r="L600" s="3">
        <v>18000</v>
      </c>
      <c r="M600" s="3">
        <v>8000</v>
      </c>
      <c r="N600" s="5">
        <v>0.30769230769230771</v>
      </c>
    </row>
    <row r="601" spans="1:14" x14ac:dyDescent="0.3">
      <c r="A601" t="s">
        <v>787</v>
      </c>
      <c r="B601" s="2">
        <v>45974</v>
      </c>
      <c r="C601" t="s">
        <v>44</v>
      </c>
      <c r="D601" t="s">
        <v>35</v>
      </c>
      <c r="E601" t="s">
        <v>23</v>
      </c>
      <c r="F601" t="s">
        <v>18</v>
      </c>
      <c r="G601" t="s">
        <v>37</v>
      </c>
      <c r="H601">
        <v>6</v>
      </c>
      <c r="I601" s="3">
        <v>400</v>
      </c>
      <c r="J601" s="3">
        <v>650</v>
      </c>
      <c r="K601" s="3">
        <v>3900</v>
      </c>
      <c r="L601" s="3">
        <v>2400</v>
      </c>
      <c r="M601" s="3">
        <v>1500</v>
      </c>
      <c r="N601" s="5">
        <v>0.38461538461538458</v>
      </c>
    </row>
    <row r="602" spans="1:14" x14ac:dyDescent="0.3">
      <c r="A602" t="s">
        <v>788</v>
      </c>
      <c r="B602" s="2">
        <v>45662</v>
      </c>
      <c r="C602" t="s">
        <v>259</v>
      </c>
      <c r="D602" t="s">
        <v>46</v>
      </c>
      <c r="E602" t="s">
        <v>55</v>
      </c>
      <c r="F602" t="s">
        <v>18</v>
      </c>
      <c r="G602" t="s">
        <v>19</v>
      </c>
      <c r="H602">
        <v>16</v>
      </c>
      <c r="I602" s="3">
        <v>1800</v>
      </c>
      <c r="J602" s="3">
        <v>2600</v>
      </c>
      <c r="K602" s="3">
        <v>41600</v>
      </c>
      <c r="L602" s="3">
        <v>28800</v>
      </c>
      <c r="M602" s="3">
        <v>12800</v>
      </c>
      <c r="N602" s="5">
        <v>0.30769230769230771</v>
      </c>
    </row>
    <row r="603" spans="1:14" x14ac:dyDescent="0.3">
      <c r="A603" t="s">
        <v>789</v>
      </c>
      <c r="B603" s="2">
        <v>45922</v>
      </c>
      <c r="C603" t="s">
        <v>114</v>
      </c>
      <c r="D603" t="s">
        <v>46</v>
      </c>
      <c r="E603" t="s">
        <v>23</v>
      </c>
      <c r="F603" t="s">
        <v>18</v>
      </c>
      <c r="G603" t="s">
        <v>76</v>
      </c>
      <c r="H603">
        <v>12</v>
      </c>
      <c r="I603" s="3">
        <v>2500</v>
      </c>
      <c r="J603" s="3">
        <v>3600</v>
      </c>
      <c r="K603" s="3">
        <v>43200</v>
      </c>
      <c r="L603" s="3">
        <v>30000</v>
      </c>
      <c r="M603" s="3">
        <v>13200</v>
      </c>
      <c r="N603" s="5">
        <v>0.30555555555555558</v>
      </c>
    </row>
    <row r="604" spans="1:14" x14ac:dyDescent="0.3">
      <c r="A604" t="s">
        <v>790</v>
      </c>
      <c r="B604" s="2">
        <v>45739</v>
      </c>
      <c r="C604" t="s">
        <v>307</v>
      </c>
      <c r="D604" t="s">
        <v>35</v>
      </c>
      <c r="E604" t="s">
        <v>28</v>
      </c>
      <c r="F604" t="s">
        <v>24</v>
      </c>
      <c r="G604" t="s">
        <v>25</v>
      </c>
      <c r="H604">
        <v>19</v>
      </c>
      <c r="I604" s="3">
        <v>15000</v>
      </c>
      <c r="J604" s="3">
        <v>19500</v>
      </c>
      <c r="K604" s="3">
        <v>370500</v>
      </c>
      <c r="L604" s="3">
        <v>285000</v>
      </c>
      <c r="M604" s="3">
        <v>85500</v>
      </c>
      <c r="N604" s="5">
        <v>0.23076923076923081</v>
      </c>
    </row>
    <row r="605" spans="1:14" x14ac:dyDescent="0.3">
      <c r="A605" t="s">
        <v>791</v>
      </c>
      <c r="B605" s="2">
        <v>45789</v>
      </c>
      <c r="C605" t="s">
        <v>359</v>
      </c>
      <c r="D605" t="s">
        <v>16</v>
      </c>
      <c r="E605" t="s">
        <v>55</v>
      </c>
      <c r="F605" t="s">
        <v>41</v>
      </c>
      <c r="G605" t="s">
        <v>42</v>
      </c>
      <c r="H605">
        <v>20</v>
      </c>
      <c r="I605" s="3">
        <v>8500</v>
      </c>
      <c r="J605" s="3">
        <v>12000</v>
      </c>
      <c r="K605" s="3">
        <v>240000</v>
      </c>
      <c r="L605" s="3">
        <v>170000</v>
      </c>
      <c r="M605" s="3">
        <v>70000</v>
      </c>
      <c r="N605" s="5">
        <v>0.29166666666666669</v>
      </c>
    </row>
    <row r="606" spans="1:14" x14ac:dyDescent="0.3">
      <c r="A606" t="s">
        <v>792</v>
      </c>
      <c r="B606" s="2">
        <v>45728</v>
      </c>
      <c r="C606" t="s">
        <v>168</v>
      </c>
      <c r="D606" t="s">
        <v>40</v>
      </c>
      <c r="E606" t="s">
        <v>32</v>
      </c>
      <c r="F606" t="s">
        <v>47</v>
      </c>
      <c r="G606" t="s">
        <v>48</v>
      </c>
      <c r="H606">
        <v>16</v>
      </c>
      <c r="I606" s="3">
        <v>2800</v>
      </c>
      <c r="J606" s="3">
        <v>4200</v>
      </c>
      <c r="K606" s="3">
        <v>67200</v>
      </c>
      <c r="L606" s="3">
        <v>44800</v>
      </c>
      <c r="M606" s="3">
        <v>22400</v>
      </c>
      <c r="N606" s="5">
        <v>0.33333333333333331</v>
      </c>
    </row>
    <row r="607" spans="1:14" x14ac:dyDescent="0.3">
      <c r="A607" t="s">
        <v>793</v>
      </c>
      <c r="B607" s="2">
        <v>45974</v>
      </c>
      <c r="C607" t="s">
        <v>34</v>
      </c>
      <c r="D607" t="s">
        <v>46</v>
      </c>
      <c r="E607" t="s">
        <v>28</v>
      </c>
      <c r="F607" t="s">
        <v>18</v>
      </c>
      <c r="G607" t="s">
        <v>19</v>
      </c>
      <c r="H607">
        <v>20</v>
      </c>
      <c r="I607" s="3">
        <v>1800</v>
      </c>
      <c r="J607" s="3">
        <v>2600</v>
      </c>
      <c r="K607" s="3">
        <v>52000</v>
      </c>
      <c r="L607" s="3">
        <v>36000</v>
      </c>
      <c r="M607" s="3">
        <v>16000</v>
      </c>
      <c r="N607" s="5">
        <v>0.30769230769230771</v>
      </c>
    </row>
    <row r="608" spans="1:14" x14ac:dyDescent="0.3">
      <c r="A608" t="s">
        <v>794</v>
      </c>
      <c r="B608" s="2">
        <v>45967</v>
      </c>
      <c r="C608" t="s">
        <v>197</v>
      </c>
      <c r="D608" t="s">
        <v>16</v>
      </c>
      <c r="E608" t="s">
        <v>55</v>
      </c>
      <c r="F608" t="s">
        <v>24</v>
      </c>
      <c r="G608" t="s">
        <v>25</v>
      </c>
      <c r="H608">
        <v>10</v>
      </c>
      <c r="I608" s="3">
        <v>15000</v>
      </c>
      <c r="J608" s="3">
        <v>19500</v>
      </c>
      <c r="K608" s="3">
        <v>195000</v>
      </c>
      <c r="L608" s="3">
        <v>150000</v>
      </c>
      <c r="M608" s="3">
        <v>45000</v>
      </c>
      <c r="N608" s="5">
        <v>0.23076923076923081</v>
      </c>
    </row>
    <row r="609" spans="1:14" x14ac:dyDescent="0.3">
      <c r="A609" t="s">
        <v>795</v>
      </c>
      <c r="B609" s="2">
        <v>45879</v>
      </c>
      <c r="C609" t="s">
        <v>300</v>
      </c>
      <c r="D609" t="s">
        <v>46</v>
      </c>
      <c r="E609" t="s">
        <v>32</v>
      </c>
      <c r="F609" t="s">
        <v>41</v>
      </c>
      <c r="G609" t="s">
        <v>42</v>
      </c>
      <c r="H609">
        <v>18</v>
      </c>
      <c r="I609" s="3">
        <v>8500</v>
      </c>
      <c r="J609" s="3">
        <v>12000</v>
      </c>
      <c r="K609" s="3">
        <v>216000</v>
      </c>
      <c r="L609" s="3">
        <v>153000</v>
      </c>
      <c r="M609" s="3">
        <v>63000</v>
      </c>
      <c r="N609" s="5">
        <v>0.29166666666666669</v>
      </c>
    </row>
    <row r="610" spans="1:14" x14ac:dyDescent="0.3">
      <c r="A610" t="s">
        <v>796</v>
      </c>
      <c r="B610" s="2">
        <v>45664</v>
      </c>
      <c r="C610" t="s">
        <v>317</v>
      </c>
      <c r="D610" t="s">
        <v>46</v>
      </c>
      <c r="E610" t="s">
        <v>36</v>
      </c>
      <c r="F610" t="s">
        <v>24</v>
      </c>
      <c r="G610" t="s">
        <v>29</v>
      </c>
      <c r="H610">
        <v>7</v>
      </c>
      <c r="I610" s="3">
        <v>12000</v>
      </c>
      <c r="J610" s="3">
        <v>16500</v>
      </c>
      <c r="K610" s="3">
        <v>115500</v>
      </c>
      <c r="L610" s="3">
        <v>84000</v>
      </c>
      <c r="M610" s="3">
        <v>31500</v>
      </c>
      <c r="N610" s="5">
        <v>0.27272727272727271</v>
      </c>
    </row>
    <row r="611" spans="1:14" x14ac:dyDescent="0.3">
      <c r="A611" t="s">
        <v>797</v>
      </c>
      <c r="B611" s="2">
        <v>45947</v>
      </c>
      <c r="C611" t="s">
        <v>472</v>
      </c>
      <c r="D611" t="s">
        <v>16</v>
      </c>
      <c r="E611" t="s">
        <v>17</v>
      </c>
      <c r="F611" t="s">
        <v>41</v>
      </c>
      <c r="G611" t="s">
        <v>42</v>
      </c>
      <c r="H611">
        <v>10</v>
      </c>
      <c r="I611" s="3">
        <v>8500</v>
      </c>
      <c r="J611" s="3">
        <v>12000</v>
      </c>
      <c r="K611" s="3">
        <v>120000</v>
      </c>
      <c r="L611" s="3">
        <v>85000</v>
      </c>
      <c r="M611" s="3">
        <v>35000</v>
      </c>
      <c r="N611" s="5">
        <v>0.29166666666666669</v>
      </c>
    </row>
    <row r="612" spans="1:14" x14ac:dyDescent="0.3">
      <c r="A612" t="s">
        <v>798</v>
      </c>
      <c r="B612" s="2">
        <v>45724</v>
      </c>
      <c r="C612" t="s">
        <v>289</v>
      </c>
      <c r="D612" t="s">
        <v>46</v>
      </c>
      <c r="E612" t="s">
        <v>55</v>
      </c>
      <c r="F612" t="s">
        <v>18</v>
      </c>
      <c r="G612" t="s">
        <v>76</v>
      </c>
      <c r="H612">
        <v>10</v>
      </c>
      <c r="I612" s="3">
        <v>2500</v>
      </c>
      <c r="J612" s="3">
        <v>3600</v>
      </c>
      <c r="K612" s="3">
        <v>36000</v>
      </c>
      <c r="L612" s="3">
        <v>25000</v>
      </c>
      <c r="M612" s="3">
        <v>11000</v>
      </c>
      <c r="N612" s="5">
        <v>0.30555555555555558</v>
      </c>
    </row>
    <row r="613" spans="1:14" x14ac:dyDescent="0.3">
      <c r="A613" t="s">
        <v>799</v>
      </c>
      <c r="B613" s="2">
        <v>45715</v>
      </c>
      <c r="C613" t="s">
        <v>325</v>
      </c>
      <c r="D613" t="s">
        <v>22</v>
      </c>
      <c r="E613" t="s">
        <v>55</v>
      </c>
      <c r="F613" t="s">
        <v>18</v>
      </c>
      <c r="G613" t="s">
        <v>60</v>
      </c>
      <c r="H613">
        <v>15</v>
      </c>
      <c r="I613" s="3">
        <v>1800</v>
      </c>
      <c r="J613" s="3">
        <v>2800</v>
      </c>
      <c r="K613" s="3">
        <v>42000</v>
      </c>
      <c r="L613" s="3">
        <v>27000</v>
      </c>
      <c r="M613" s="3">
        <v>15000</v>
      </c>
      <c r="N613" s="5">
        <v>0.35714285714285721</v>
      </c>
    </row>
    <row r="614" spans="1:14" x14ac:dyDescent="0.3">
      <c r="A614" t="s">
        <v>800</v>
      </c>
      <c r="B614" s="2">
        <v>45787</v>
      </c>
      <c r="C614" t="s">
        <v>223</v>
      </c>
      <c r="D614" t="s">
        <v>40</v>
      </c>
      <c r="E614" t="s">
        <v>32</v>
      </c>
      <c r="F614" t="s">
        <v>24</v>
      </c>
      <c r="G614" t="s">
        <v>63</v>
      </c>
      <c r="H614">
        <v>1</v>
      </c>
      <c r="I614" s="3">
        <v>42000</v>
      </c>
      <c r="J614" s="3">
        <v>55000</v>
      </c>
      <c r="K614" s="3">
        <v>55000</v>
      </c>
      <c r="L614" s="3">
        <v>42000</v>
      </c>
      <c r="M614" s="3">
        <v>13000</v>
      </c>
      <c r="N614" s="5">
        <v>0.23636363636363639</v>
      </c>
    </row>
    <row r="615" spans="1:14" x14ac:dyDescent="0.3">
      <c r="A615" t="s">
        <v>801</v>
      </c>
      <c r="B615" s="2">
        <v>45753</v>
      </c>
      <c r="C615" t="s">
        <v>180</v>
      </c>
      <c r="D615" t="s">
        <v>40</v>
      </c>
      <c r="E615" t="s">
        <v>36</v>
      </c>
      <c r="F615" t="s">
        <v>18</v>
      </c>
      <c r="G615" t="s">
        <v>60</v>
      </c>
      <c r="H615">
        <v>11</v>
      </c>
      <c r="I615" s="3">
        <v>1800</v>
      </c>
      <c r="J615" s="3">
        <v>2800</v>
      </c>
      <c r="K615" s="3">
        <v>30800</v>
      </c>
      <c r="L615" s="3">
        <v>19800</v>
      </c>
      <c r="M615" s="3">
        <v>11000</v>
      </c>
      <c r="N615" s="5">
        <v>0.35714285714285721</v>
      </c>
    </row>
    <row r="616" spans="1:14" x14ac:dyDescent="0.3">
      <c r="A616" t="s">
        <v>802</v>
      </c>
      <c r="B616" s="2">
        <v>45852</v>
      </c>
      <c r="C616" t="s">
        <v>116</v>
      </c>
      <c r="D616" t="s">
        <v>40</v>
      </c>
      <c r="E616" t="s">
        <v>32</v>
      </c>
      <c r="F616" t="s">
        <v>24</v>
      </c>
      <c r="G616" t="s">
        <v>25</v>
      </c>
      <c r="H616">
        <v>13</v>
      </c>
      <c r="I616" s="3">
        <v>15000</v>
      </c>
      <c r="J616" s="3">
        <v>19500</v>
      </c>
      <c r="K616" s="3">
        <v>253500</v>
      </c>
      <c r="L616" s="3">
        <v>195000</v>
      </c>
      <c r="M616" s="3">
        <v>58500</v>
      </c>
      <c r="N616" s="5">
        <v>0.23076923076923081</v>
      </c>
    </row>
    <row r="617" spans="1:14" x14ac:dyDescent="0.3">
      <c r="A617" t="s">
        <v>803</v>
      </c>
      <c r="B617" s="2">
        <v>46016</v>
      </c>
      <c r="C617" t="s">
        <v>274</v>
      </c>
      <c r="D617" t="s">
        <v>35</v>
      </c>
      <c r="E617" t="s">
        <v>32</v>
      </c>
      <c r="F617" t="s">
        <v>47</v>
      </c>
      <c r="G617" t="s">
        <v>48</v>
      </c>
      <c r="H617">
        <v>13</v>
      </c>
      <c r="I617" s="3">
        <v>2800</v>
      </c>
      <c r="J617" s="3">
        <v>4200</v>
      </c>
      <c r="K617" s="3">
        <v>54600</v>
      </c>
      <c r="L617" s="3">
        <v>36400</v>
      </c>
      <c r="M617" s="3">
        <v>18200</v>
      </c>
      <c r="N617" s="5">
        <v>0.33333333333333331</v>
      </c>
    </row>
    <row r="618" spans="1:14" x14ac:dyDescent="0.3">
      <c r="A618" t="s">
        <v>804</v>
      </c>
      <c r="B618" s="2">
        <v>46008</v>
      </c>
      <c r="C618" t="s">
        <v>102</v>
      </c>
      <c r="D618" t="s">
        <v>16</v>
      </c>
      <c r="E618" t="s">
        <v>32</v>
      </c>
      <c r="F618" t="s">
        <v>24</v>
      </c>
      <c r="G618" t="s">
        <v>29</v>
      </c>
      <c r="H618">
        <v>13</v>
      </c>
      <c r="I618" s="3">
        <v>12000</v>
      </c>
      <c r="J618" s="3">
        <v>16500</v>
      </c>
      <c r="K618" s="3">
        <v>214500</v>
      </c>
      <c r="L618" s="3">
        <v>156000</v>
      </c>
      <c r="M618" s="3">
        <v>58500</v>
      </c>
      <c r="N618" s="5">
        <v>0.27272727272727271</v>
      </c>
    </row>
    <row r="619" spans="1:14" x14ac:dyDescent="0.3">
      <c r="A619" t="s">
        <v>805</v>
      </c>
      <c r="B619" s="2">
        <v>45745</v>
      </c>
      <c r="C619" t="s">
        <v>371</v>
      </c>
      <c r="D619" t="s">
        <v>46</v>
      </c>
      <c r="E619" t="s">
        <v>17</v>
      </c>
      <c r="F619" t="s">
        <v>24</v>
      </c>
      <c r="G619" t="s">
        <v>29</v>
      </c>
      <c r="H619">
        <v>13</v>
      </c>
      <c r="I619" s="3">
        <v>12000</v>
      </c>
      <c r="J619" s="3">
        <v>16500</v>
      </c>
      <c r="K619" s="3">
        <v>214500</v>
      </c>
      <c r="L619" s="3">
        <v>156000</v>
      </c>
      <c r="M619" s="3">
        <v>58500</v>
      </c>
      <c r="N619" s="5">
        <v>0.27272727272727271</v>
      </c>
    </row>
    <row r="620" spans="1:14" x14ac:dyDescent="0.3">
      <c r="A620" t="s">
        <v>806</v>
      </c>
      <c r="B620" s="2">
        <v>45787</v>
      </c>
      <c r="C620" t="s">
        <v>525</v>
      </c>
      <c r="D620" t="s">
        <v>35</v>
      </c>
      <c r="E620" t="s">
        <v>28</v>
      </c>
      <c r="F620" t="s">
        <v>18</v>
      </c>
      <c r="G620" t="s">
        <v>72</v>
      </c>
      <c r="H620">
        <v>2</v>
      </c>
      <c r="I620" s="3">
        <v>900</v>
      </c>
      <c r="J620" s="3">
        <v>1500</v>
      </c>
      <c r="K620" s="3">
        <v>3000</v>
      </c>
      <c r="L620" s="3">
        <v>1800</v>
      </c>
      <c r="M620" s="3">
        <v>1200</v>
      </c>
      <c r="N620" s="5">
        <v>0.4</v>
      </c>
    </row>
    <row r="621" spans="1:14" x14ac:dyDescent="0.3">
      <c r="A621" t="s">
        <v>807</v>
      </c>
      <c r="B621" s="2">
        <v>45952</v>
      </c>
      <c r="C621" t="s">
        <v>136</v>
      </c>
      <c r="D621" t="s">
        <v>35</v>
      </c>
      <c r="E621" t="s">
        <v>17</v>
      </c>
      <c r="F621" t="s">
        <v>18</v>
      </c>
      <c r="G621" t="s">
        <v>72</v>
      </c>
      <c r="H621">
        <v>14</v>
      </c>
      <c r="I621" s="3">
        <v>900</v>
      </c>
      <c r="J621" s="3">
        <v>1500</v>
      </c>
      <c r="K621" s="3">
        <v>21000</v>
      </c>
      <c r="L621" s="3">
        <v>12600</v>
      </c>
      <c r="M621" s="3">
        <v>8400</v>
      </c>
      <c r="N621" s="5">
        <v>0.4</v>
      </c>
    </row>
    <row r="622" spans="1:14" x14ac:dyDescent="0.3">
      <c r="A622" t="s">
        <v>808</v>
      </c>
      <c r="B622" s="2">
        <v>45730</v>
      </c>
      <c r="C622" t="s">
        <v>69</v>
      </c>
      <c r="D622" t="s">
        <v>40</v>
      </c>
      <c r="E622" t="s">
        <v>23</v>
      </c>
      <c r="F622" t="s">
        <v>18</v>
      </c>
      <c r="G622" t="s">
        <v>72</v>
      </c>
      <c r="H622">
        <v>6</v>
      </c>
      <c r="I622" s="3">
        <v>900</v>
      </c>
      <c r="J622" s="3">
        <v>1500</v>
      </c>
      <c r="K622" s="3">
        <v>9000</v>
      </c>
      <c r="L622" s="3">
        <v>5400</v>
      </c>
      <c r="M622" s="3">
        <v>3600</v>
      </c>
      <c r="N622" s="5">
        <v>0.4</v>
      </c>
    </row>
    <row r="623" spans="1:14" x14ac:dyDescent="0.3">
      <c r="A623" t="s">
        <v>809</v>
      </c>
      <c r="B623" s="2">
        <v>45723</v>
      </c>
      <c r="C623" t="s">
        <v>175</v>
      </c>
      <c r="D623" t="s">
        <v>22</v>
      </c>
      <c r="E623" t="s">
        <v>17</v>
      </c>
      <c r="F623" t="s">
        <v>41</v>
      </c>
      <c r="G623" t="s">
        <v>42</v>
      </c>
      <c r="H623">
        <v>5</v>
      </c>
      <c r="I623" s="3">
        <v>8500</v>
      </c>
      <c r="J623" s="3">
        <v>12000</v>
      </c>
      <c r="K623" s="3">
        <v>60000</v>
      </c>
      <c r="L623" s="3">
        <v>42500</v>
      </c>
      <c r="M623" s="3">
        <v>17500</v>
      </c>
      <c r="N623" s="5">
        <v>0.29166666666666669</v>
      </c>
    </row>
    <row r="624" spans="1:14" x14ac:dyDescent="0.3">
      <c r="A624" t="s">
        <v>810</v>
      </c>
      <c r="B624" s="2">
        <v>45802</v>
      </c>
      <c r="C624" t="s">
        <v>268</v>
      </c>
      <c r="D624" t="s">
        <v>46</v>
      </c>
      <c r="E624" t="s">
        <v>23</v>
      </c>
      <c r="F624" t="s">
        <v>24</v>
      </c>
      <c r="G624" t="s">
        <v>25</v>
      </c>
      <c r="H624">
        <v>12</v>
      </c>
      <c r="I624" s="3">
        <v>15000</v>
      </c>
      <c r="J624" s="3">
        <v>19500</v>
      </c>
      <c r="K624" s="3">
        <v>234000</v>
      </c>
      <c r="L624" s="3">
        <v>180000</v>
      </c>
      <c r="M624" s="3">
        <v>54000</v>
      </c>
      <c r="N624" s="5">
        <v>0.23076923076923081</v>
      </c>
    </row>
    <row r="625" spans="1:14" x14ac:dyDescent="0.3">
      <c r="A625" t="s">
        <v>811</v>
      </c>
      <c r="B625" s="2">
        <v>45878</v>
      </c>
      <c r="C625" t="s">
        <v>235</v>
      </c>
      <c r="D625" t="s">
        <v>35</v>
      </c>
      <c r="E625" t="s">
        <v>28</v>
      </c>
      <c r="F625" t="s">
        <v>41</v>
      </c>
      <c r="G625" t="s">
        <v>42</v>
      </c>
      <c r="H625">
        <v>14</v>
      </c>
      <c r="I625" s="3">
        <v>8500</v>
      </c>
      <c r="J625" s="3">
        <v>12000</v>
      </c>
      <c r="K625" s="3">
        <v>168000</v>
      </c>
      <c r="L625" s="3">
        <v>119000</v>
      </c>
      <c r="M625" s="3">
        <v>49000</v>
      </c>
      <c r="N625" s="5">
        <v>0.29166666666666669</v>
      </c>
    </row>
    <row r="626" spans="1:14" x14ac:dyDescent="0.3">
      <c r="A626" t="s">
        <v>812</v>
      </c>
      <c r="B626" s="2">
        <v>45693</v>
      </c>
      <c r="C626" t="s">
        <v>317</v>
      </c>
      <c r="D626" t="s">
        <v>46</v>
      </c>
      <c r="E626" t="s">
        <v>36</v>
      </c>
      <c r="F626" t="s">
        <v>47</v>
      </c>
      <c r="G626" t="s">
        <v>48</v>
      </c>
      <c r="H626">
        <v>13</v>
      </c>
      <c r="I626" s="3">
        <v>2800</v>
      </c>
      <c r="J626" s="3">
        <v>4200</v>
      </c>
      <c r="K626" s="3">
        <v>54600</v>
      </c>
      <c r="L626" s="3">
        <v>36400</v>
      </c>
      <c r="M626" s="3">
        <v>18200</v>
      </c>
      <c r="N626" s="5">
        <v>0.33333333333333331</v>
      </c>
    </row>
    <row r="627" spans="1:14" x14ac:dyDescent="0.3">
      <c r="A627" t="s">
        <v>813</v>
      </c>
      <c r="B627" s="2">
        <v>45936</v>
      </c>
      <c r="C627" t="s">
        <v>39</v>
      </c>
      <c r="D627" t="s">
        <v>22</v>
      </c>
      <c r="E627" t="s">
        <v>55</v>
      </c>
      <c r="F627" t="s">
        <v>24</v>
      </c>
      <c r="G627" t="s">
        <v>63</v>
      </c>
      <c r="H627">
        <v>9</v>
      </c>
      <c r="I627" s="3">
        <v>42000</v>
      </c>
      <c r="J627" s="3">
        <v>55000</v>
      </c>
      <c r="K627" s="3">
        <v>495000</v>
      </c>
      <c r="L627" s="3">
        <v>378000</v>
      </c>
      <c r="M627" s="3">
        <v>117000</v>
      </c>
      <c r="N627" s="5">
        <v>0.23636363636363639</v>
      </c>
    </row>
    <row r="628" spans="1:14" x14ac:dyDescent="0.3">
      <c r="A628" t="s">
        <v>814</v>
      </c>
      <c r="B628" s="2">
        <v>45995</v>
      </c>
      <c r="C628" t="s">
        <v>276</v>
      </c>
      <c r="D628" t="s">
        <v>16</v>
      </c>
      <c r="E628" t="s">
        <v>28</v>
      </c>
      <c r="F628" t="s">
        <v>18</v>
      </c>
      <c r="G628" t="s">
        <v>37</v>
      </c>
      <c r="H628">
        <v>16</v>
      </c>
      <c r="I628" s="3">
        <v>400</v>
      </c>
      <c r="J628" s="3">
        <v>650</v>
      </c>
      <c r="K628" s="3">
        <v>10400</v>
      </c>
      <c r="L628" s="3">
        <v>6400</v>
      </c>
      <c r="M628" s="3">
        <v>4000</v>
      </c>
      <c r="N628" s="5">
        <v>0.38461538461538458</v>
      </c>
    </row>
    <row r="629" spans="1:14" x14ac:dyDescent="0.3">
      <c r="A629" t="s">
        <v>815</v>
      </c>
      <c r="B629" s="2">
        <v>45783</v>
      </c>
      <c r="C629" t="s">
        <v>71</v>
      </c>
      <c r="D629" t="s">
        <v>22</v>
      </c>
      <c r="E629" t="s">
        <v>23</v>
      </c>
      <c r="F629" t="s">
        <v>41</v>
      </c>
      <c r="G629" t="s">
        <v>42</v>
      </c>
      <c r="H629">
        <v>12</v>
      </c>
      <c r="I629" s="3">
        <v>8500</v>
      </c>
      <c r="J629" s="3">
        <v>12000</v>
      </c>
      <c r="K629" s="3">
        <v>144000</v>
      </c>
      <c r="L629" s="3">
        <v>102000</v>
      </c>
      <c r="M629" s="3">
        <v>42000</v>
      </c>
      <c r="N629" s="5">
        <v>0.29166666666666669</v>
      </c>
    </row>
    <row r="630" spans="1:14" x14ac:dyDescent="0.3">
      <c r="A630" t="s">
        <v>816</v>
      </c>
      <c r="B630" s="2">
        <v>45878</v>
      </c>
      <c r="C630" t="s">
        <v>305</v>
      </c>
      <c r="D630" t="s">
        <v>35</v>
      </c>
      <c r="E630" t="s">
        <v>17</v>
      </c>
      <c r="F630" t="s">
        <v>18</v>
      </c>
      <c r="G630" t="s">
        <v>37</v>
      </c>
      <c r="H630">
        <v>7</v>
      </c>
      <c r="I630" s="3">
        <v>400</v>
      </c>
      <c r="J630" s="3">
        <v>650</v>
      </c>
      <c r="K630" s="3">
        <v>4550</v>
      </c>
      <c r="L630" s="3">
        <v>2800</v>
      </c>
      <c r="M630" s="3">
        <v>1750</v>
      </c>
      <c r="N630" s="5">
        <v>0.38461538461538458</v>
      </c>
    </row>
    <row r="631" spans="1:14" x14ac:dyDescent="0.3">
      <c r="A631" t="s">
        <v>817</v>
      </c>
      <c r="B631" s="2">
        <v>45673</v>
      </c>
      <c r="C631" t="s">
        <v>27</v>
      </c>
      <c r="D631" t="s">
        <v>22</v>
      </c>
      <c r="E631" t="s">
        <v>55</v>
      </c>
      <c r="F631" t="s">
        <v>24</v>
      </c>
      <c r="G631" t="s">
        <v>29</v>
      </c>
      <c r="H631">
        <v>9</v>
      </c>
      <c r="I631" s="3">
        <v>12000</v>
      </c>
      <c r="J631" s="3">
        <v>16500</v>
      </c>
      <c r="K631" s="3">
        <v>148500</v>
      </c>
      <c r="L631" s="3">
        <v>108000</v>
      </c>
      <c r="M631" s="3">
        <v>40500</v>
      </c>
      <c r="N631" s="5">
        <v>0.27272727272727271</v>
      </c>
    </row>
    <row r="632" spans="1:14" x14ac:dyDescent="0.3">
      <c r="A632" t="s">
        <v>818</v>
      </c>
      <c r="B632" s="2">
        <v>45788</v>
      </c>
      <c r="C632" t="s">
        <v>552</v>
      </c>
      <c r="D632" t="s">
        <v>40</v>
      </c>
      <c r="E632" t="s">
        <v>17</v>
      </c>
      <c r="F632" t="s">
        <v>18</v>
      </c>
      <c r="G632" t="s">
        <v>72</v>
      </c>
      <c r="H632">
        <v>1</v>
      </c>
      <c r="I632" s="3">
        <v>900</v>
      </c>
      <c r="J632" s="3">
        <v>1500</v>
      </c>
      <c r="K632" s="3">
        <v>1500</v>
      </c>
      <c r="L632" s="3">
        <v>900</v>
      </c>
      <c r="M632" s="3">
        <v>600</v>
      </c>
      <c r="N632" s="5">
        <v>0.4</v>
      </c>
    </row>
    <row r="633" spans="1:14" x14ac:dyDescent="0.3">
      <c r="A633" t="s">
        <v>819</v>
      </c>
      <c r="B633" s="2">
        <v>45999</v>
      </c>
      <c r="C633" t="s">
        <v>200</v>
      </c>
      <c r="D633" t="s">
        <v>40</v>
      </c>
      <c r="E633" t="s">
        <v>36</v>
      </c>
      <c r="F633" t="s">
        <v>41</v>
      </c>
      <c r="G633" t="s">
        <v>42</v>
      </c>
      <c r="H633">
        <v>5</v>
      </c>
      <c r="I633" s="3">
        <v>8500</v>
      </c>
      <c r="J633" s="3">
        <v>12000</v>
      </c>
      <c r="K633" s="3">
        <v>60000</v>
      </c>
      <c r="L633" s="3">
        <v>42500</v>
      </c>
      <c r="M633" s="3">
        <v>17500</v>
      </c>
      <c r="N633" s="5">
        <v>0.29166666666666669</v>
      </c>
    </row>
    <row r="634" spans="1:14" x14ac:dyDescent="0.3">
      <c r="A634" t="s">
        <v>820</v>
      </c>
      <c r="B634" s="2">
        <v>45940</v>
      </c>
      <c r="C634" t="s">
        <v>257</v>
      </c>
      <c r="D634" t="s">
        <v>16</v>
      </c>
      <c r="E634" t="s">
        <v>36</v>
      </c>
      <c r="F634" t="s">
        <v>41</v>
      </c>
      <c r="G634" t="s">
        <v>42</v>
      </c>
      <c r="H634">
        <v>3</v>
      </c>
      <c r="I634" s="3">
        <v>8500</v>
      </c>
      <c r="J634" s="3">
        <v>12000</v>
      </c>
      <c r="K634" s="3">
        <v>36000</v>
      </c>
      <c r="L634" s="3">
        <v>25500</v>
      </c>
      <c r="M634" s="3">
        <v>10500</v>
      </c>
      <c r="N634" s="5">
        <v>0.29166666666666669</v>
      </c>
    </row>
    <row r="635" spans="1:14" x14ac:dyDescent="0.3">
      <c r="A635" t="s">
        <v>821</v>
      </c>
      <c r="B635" s="2">
        <v>45909</v>
      </c>
      <c r="C635" t="s">
        <v>371</v>
      </c>
      <c r="D635" t="s">
        <v>40</v>
      </c>
      <c r="E635" t="s">
        <v>23</v>
      </c>
      <c r="F635" t="s">
        <v>18</v>
      </c>
      <c r="G635" t="s">
        <v>37</v>
      </c>
      <c r="H635">
        <v>20</v>
      </c>
      <c r="I635" s="3">
        <v>400</v>
      </c>
      <c r="J635" s="3">
        <v>650</v>
      </c>
      <c r="K635" s="3">
        <v>13000</v>
      </c>
      <c r="L635" s="3">
        <v>8000</v>
      </c>
      <c r="M635" s="3">
        <v>5000</v>
      </c>
      <c r="N635" s="5">
        <v>0.38461538461538458</v>
      </c>
    </row>
    <row r="636" spans="1:14" x14ac:dyDescent="0.3">
      <c r="A636" t="s">
        <v>822</v>
      </c>
      <c r="B636" s="2">
        <v>45779</v>
      </c>
      <c r="C636" t="s">
        <v>172</v>
      </c>
      <c r="D636" t="s">
        <v>40</v>
      </c>
      <c r="E636" t="s">
        <v>32</v>
      </c>
      <c r="F636" t="s">
        <v>24</v>
      </c>
      <c r="G636" t="s">
        <v>29</v>
      </c>
      <c r="H636">
        <v>7</v>
      </c>
      <c r="I636" s="3">
        <v>12000</v>
      </c>
      <c r="J636" s="3">
        <v>16500</v>
      </c>
      <c r="K636" s="3">
        <v>115500</v>
      </c>
      <c r="L636" s="3">
        <v>84000</v>
      </c>
      <c r="M636" s="3">
        <v>31500</v>
      </c>
      <c r="N636" s="5">
        <v>0.27272727272727271</v>
      </c>
    </row>
    <row r="637" spans="1:14" x14ac:dyDescent="0.3">
      <c r="A637" t="s">
        <v>823</v>
      </c>
      <c r="B637" s="2">
        <v>45940</v>
      </c>
      <c r="C637" t="s">
        <v>371</v>
      </c>
      <c r="D637" t="s">
        <v>46</v>
      </c>
      <c r="E637" t="s">
        <v>28</v>
      </c>
      <c r="F637" t="s">
        <v>47</v>
      </c>
      <c r="G637" t="s">
        <v>48</v>
      </c>
      <c r="H637">
        <v>19</v>
      </c>
      <c r="I637" s="3">
        <v>2800</v>
      </c>
      <c r="J637" s="3">
        <v>4200</v>
      </c>
      <c r="K637" s="3">
        <v>79800</v>
      </c>
      <c r="L637" s="3">
        <v>53200</v>
      </c>
      <c r="M637" s="3">
        <v>26600</v>
      </c>
      <c r="N637" s="5">
        <v>0.33333333333333331</v>
      </c>
    </row>
    <row r="638" spans="1:14" x14ac:dyDescent="0.3">
      <c r="A638" t="s">
        <v>824</v>
      </c>
      <c r="B638" s="2">
        <v>45736</v>
      </c>
      <c r="C638" t="s">
        <v>418</v>
      </c>
      <c r="D638" t="s">
        <v>16</v>
      </c>
      <c r="E638" t="s">
        <v>17</v>
      </c>
      <c r="F638" t="s">
        <v>18</v>
      </c>
      <c r="G638" t="s">
        <v>60</v>
      </c>
      <c r="H638">
        <v>15</v>
      </c>
      <c r="I638" s="3">
        <v>1800</v>
      </c>
      <c r="J638" s="3">
        <v>2800</v>
      </c>
      <c r="K638" s="3">
        <v>42000</v>
      </c>
      <c r="L638" s="3">
        <v>27000</v>
      </c>
      <c r="M638" s="3">
        <v>15000</v>
      </c>
      <c r="N638" s="5">
        <v>0.35714285714285721</v>
      </c>
    </row>
    <row r="639" spans="1:14" x14ac:dyDescent="0.3">
      <c r="A639" t="s">
        <v>825</v>
      </c>
      <c r="B639" s="2">
        <v>45821</v>
      </c>
      <c r="C639" t="s">
        <v>472</v>
      </c>
      <c r="D639" t="s">
        <v>40</v>
      </c>
      <c r="E639" t="s">
        <v>32</v>
      </c>
      <c r="F639" t="s">
        <v>41</v>
      </c>
      <c r="G639" t="s">
        <v>42</v>
      </c>
      <c r="H639">
        <v>6</v>
      </c>
      <c r="I639" s="3">
        <v>8500</v>
      </c>
      <c r="J639" s="3">
        <v>12000</v>
      </c>
      <c r="K639" s="3">
        <v>72000</v>
      </c>
      <c r="L639" s="3">
        <v>51000</v>
      </c>
      <c r="M639" s="3">
        <v>21000</v>
      </c>
      <c r="N639" s="5">
        <v>0.29166666666666669</v>
      </c>
    </row>
    <row r="640" spans="1:14" x14ac:dyDescent="0.3">
      <c r="A640" t="s">
        <v>826</v>
      </c>
      <c r="B640" s="2">
        <v>45744</v>
      </c>
      <c r="C640" t="s">
        <v>87</v>
      </c>
      <c r="D640" t="s">
        <v>16</v>
      </c>
      <c r="E640" t="s">
        <v>32</v>
      </c>
      <c r="F640" t="s">
        <v>24</v>
      </c>
      <c r="G640" t="s">
        <v>63</v>
      </c>
      <c r="H640">
        <v>17</v>
      </c>
      <c r="I640" s="3">
        <v>42000</v>
      </c>
      <c r="J640" s="3">
        <v>55000</v>
      </c>
      <c r="K640" s="3">
        <v>935000</v>
      </c>
      <c r="L640" s="3">
        <v>714000</v>
      </c>
      <c r="M640" s="3">
        <v>221000</v>
      </c>
      <c r="N640" s="5">
        <v>0.23636363636363639</v>
      </c>
    </row>
    <row r="641" spans="1:14" x14ac:dyDescent="0.3">
      <c r="A641" t="s">
        <v>827</v>
      </c>
      <c r="B641" s="2">
        <v>45848</v>
      </c>
      <c r="C641" t="s">
        <v>180</v>
      </c>
      <c r="D641" t="s">
        <v>16</v>
      </c>
      <c r="E641" t="s">
        <v>17</v>
      </c>
      <c r="F641" t="s">
        <v>24</v>
      </c>
      <c r="G641" t="s">
        <v>29</v>
      </c>
      <c r="H641">
        <v>6</v>
      </c>
      <c r="I641" s="3">
        <v>12000</v>
      </c>
      <c r="J641" s="3">
        <v>16500</v>
      </c>
      <c r="K641" s="3">
        <v>99000</v>
      </c>
      <c r="L641" s="3">
        <v>72000</v>
      </c>
      <c r="M641" s="3">
        <v>27000</v>
      </c>
      <c r="N641" s="5">
        <v>0.27272727272727271</v>
      </c>
    </row>
    <row r="642" spans="1:14" x14ac:dyDescent="0.3">
      <c r="A642" t="s">
        <v>828</v>
      </c>
      <c r="B642" s="2">
        <v>45828</v>
      </c>
      <c r="C642" t="s">
        <v>27</v>
      </c>
      <c r="D642" t="s">
        <v>16</v>
      </c>
      <c r="E642" t="s">
        <v>17</v>
      </c>
      <c r="F642" t="s">
        <v>24</v>
      </c>
      <c r="G642" t="s">
        <v>29</v>
      </c>
      <c r="H642">
        <v>15</v>
      </c>
      <c r="I642" s="3">
        <v>12000</v>
      </c>
      <c r="J642" s="3">
        <v>16500</v>
      </c>
      <c r="K642" s="3">
        <v>247500</v>
      </c>
      <c r="L642" s="3">
        <v>180000</v>
      </c>
      <c r="M642" s="3">
        <v>67500</v>
      </c>
      <c r="N642" s="5">
        <v>0.27272727272727271</v>
      </c>
    </row>
    <row r="643" spans="1:14" x14ac:dyDescent="0.3">
      <c r="A643" t="s">
        <v>829</v>
      </c>
      <c r="B643" s="2">
        <v>45948</v>
      </c>
      <c r="C643" t="s">
        <v>643</v>
      </c>
      <c r="D643" t="s">
        <v>40</v>
      </c>
      <c r="E643" t="s">
        <v>32</v>
      </c>
      <c r="F643" t="s">
        <v>24</v>
      </c>
      <c r="G643" t="s">
        <v>29</v>
      </c>
      <c r="H643">
        <v>12</v>
      </c>
      <c r="I643" s="3">
        <v>12000</v>
      </c>
      <c r="J643" s="3">
        <v>16500</v>
      </c>
      <c r="K643" s="3">
        <v>198000</v>
      </c>
      <c r="L643" s="3">
        <v>144000</v>
      </c>
      <c r="M643" s="3">
        <v>54000</v>
      </c>
      <c r="N643" s="5">
        <v>0.27272727272727271</v>
      </c>
    </row>
    <row r="644" spans="1:14" x14ac:dyDescent="0.3">
      <c r="A644" t="s">
        <v>830</v>
      </c>
      <c r="B644" s="2">
        <v>45861</v>
      </c>
      <c r="C644" t="s">
        <v>108</v>
      </c>
      <c r="D644" t="s">
        <v>22</v>
      </c>
      <c r="E644" t="s">
        <v>17</v>
      </c>
      <c r="F644" t="s">
        <v>24</v>
      </c>
      <c r="G644" t="s">
        <v>25</v>
      </c>
      <c r="H644">
        <v>11</v>
      </c>
      <c r="I644" s="3">
        <v>15000</v>
      </c>
      <c r="J644" s="3">
        <v>19500</v>
      </c>
      <c r="K644" s="3">
        <v>214500</v>
      </c>
      <c r="L644" s="3">
        <v>165000</v>
      </c>
      <c r="M644" s="3">
        <v>49500</v>
      </c>
      <c r="N644" s="5">
        <v>0.23076923076923081</v>
      </c>
    </row>
    <row r="645" spans="1:14" x14ac:dyDescent="0.3">
      <c r="A645" t="s">
        <v>831</v>
      </c>
      <c r="B645" s="2">
        <v>45752</v>
      </c>
      <c r="C645" t="s">
        <v>599</v>
      </c>
      <c r="D645" t="s">
        <v>40</v>
      </c>
      <c r="E645" t="s">
        <v>23</v>
      </c>
      <c r="F645" t="s">
        <v>18</v>
      </c>
      <c r="G645" t="s">
        <v>37</v>
      </c>
      <c r="H645">
        <v>19</v>
      </c>
      <c r="I645" s="3">
        <v>400</v>
      </c>
      <c r="J645" s="3">
        <v>650</v>
      </c>
      <c r="K645" s="3">
        <v>12350</v>
      </c>
      <c r="L645" s="3">
        <v>7600</v>
      </c>
      <c r="M645" s="3">
        <v>4750</v>
      </c>
      <c r="N645" s="5">
        <v>0.38461538461538458</v>
      </c>
    </row>
    <row r="646" spans="1:14" x14ac:dyDescent="0.3">
      <c r="A646" t="s">
        <v>832</v>
      </c>
      <c r="B646" s="2">
        <v>45805</v>
      </c>
      <c r="C646" t="s">
        <v>89</v>
      </c>
      <c r="D646" t="s">
        <v>35</v>
      </c>
      <c r="E646" t="s">
        <v>28</v>
      </c>
      <c r="F646" t="s">
        <v>24</v>
      </c>
      <c r="G646" t="s">
        <v>29</v>
      </c>
      <c r="H646">
        <v>1</v>
      </c>
      <c r="I646" s="3">
        <v>12000</v>
      </c>
      <c r="J646" s="3">
        <v>16500</v>
      </c>
      <c r="K646" s="3">
        <v>16500</v>
      </c>
      <c r="L646" s="3">
        <v>12000</v>
      </c>
      <c r="M646" s="3">
        <v>4500</v>
      </c>
      <c r="N646" s="5">
        <v>0.27272727272727271</v>
      </c>
    </row>
    <row r="647" spans="1:14" x14ac:dyDescent="0.3">
      <c r="A647" t="s">
        <v>833</v>
      </c>
      <c r="B647" s="2">
        <v>45925</v>
      </c>
      <c r="C647" t="s">
        <v>85</v>
      </c>
      <c r="D647" t="s">
        <v>16</v>
      </c>
      <c r="E647" t="s">
        <v>23</v>
      </c>
      <c r="F647" t="s">
        <v>24</v>
      </c>
      <c r="G647" t="s">
        <v>25</v>
      </c>
      <c r="H647">
        <v>2</v>
      </c>
      <c r="I647" s="3">
        <v>15000</v>
      </c>
      <c r="J647" s="3">
        <v>19500</v>
      </c>
      <c r="K647" s="3">
        <v>39000</v>
      </c>
      <c r="L647" s="3">
        <v>30000</v>
      </c>
      <c r="M647" s="3">
        <v>9000</v>
      </c>
      <c r="N647" s="5">
        <v>0.23076923076923081</v>
      </c>
    </row>
    <row r="648" spans="1:14" x14ac:dyDescent="0.3">
      <c r="A648" t="s">
        <v>834</v>
      </c>
      <c r="B648" s="2">
        <v>45769</v>
      </c>
      <c r="C648" t="s">
        <v>300</v>
      </c>
      <c r="D648" t="s">
        <v>40</v>
      </c>
      <c r="E648" t="s">
        <v>32</v>
      </c>
      <c r="F648" t="s">
        <v>18</v>
      </c>
      <c r="G648" t="s">
        <v>37</v>
      </c>
      <c r="H648">
        <v>5</v>
      </c>
      <c r="I648" s="3">
        <v>400</v>
      </c>
      <c r="J648" s="3">
        <v>650</v>
      </c>
      <c r="K648" s="3">
        <v>3250</v>
      </c>
      <c r="L648" s="3">
        <v>2000</v>
      </c>
      <c r="M648" s="3">
        <v>1250</v>
      </c>
      <c r="N648" s="5">
        <v>0.38461538461538458</v>
      </c>
    </row>
    <row r="649" spans="1:14" x14ac:dyDescent="0.3">
      <c r="A649" t="s">
        <v>835</v>
      </c>
      <c r="B649" s="2">
        <v>45921</v>
      </c>
      <c r="C649" t="s">
        <v>168</v>
      </c>
      <c r="D649" t="s">
        <v>22</v>
      </c>
      <c r="E649" t="s">
        <v>23</v>
      </c>
      <c r="F649" t="s">
        <v>18</v>
      </c>
      <c r="G649" t="s">
        <v>19</v>
      </c>
      <c r="H649">
        <v>8</v>
      </c>
      <c r="I649" s="3">
        <v>1800</v>
      </c>
      <c r="J649" s="3">
        <v>2600</v>
      </c>
      <c r="K649" s="3">
        <v>20800</v>
      </c>
      <c r="L649" s="3">
        <v>14400</v>
      </c>
      <c r="M649" s="3">
        <v>6400</v>
      </c>
      <c r="N649" s="5">
        <v>0.30769230769230771</v>
      </c>
    </row>
    <row r="650" spans="1:14" x14ac:dyDescent="0.3">
      <c r="A650" t="s">
        <v>836</v>
      </c>
      <c r="B650" s="2">
        <v>45816</v>
      </c>
      <c r="C650" t="s">
        <v>78</v>
      </c>
      <c r="D650" t="s">
        <v>35</v>
      </c>
      <c r="E650" t="s">
        <v>55</v>
      </c>
      <c r="F650" t="s">
        <v>18</v>
      </c>
      <c r="G650" t="s">
        <v>76</v>
      </c>
      <c r="H650">
        <v>2</v>
      </c>
      <c r="I650" s="3">
        <v>2500</v>
      </c>
      <c r="J650" s="3">
        <v>3600</v>
      </c>
      <c r="K650" s="3">
        <v>7200</v>
      </c>
      <c r="L650" s="3">
        <v>5000</v>
      </c>
      <c r="M650" s="3">
        <v>2200</v>
      </c>
      <c r="N650" s="5">
        <v>0.30555555555555558</v>
      </c>
    </row>
    <row r="651" spans="1:14" x14ac:dyDescent="0.3">
      <c r="A651" t="s">
        <v>837</v>
      </c>
      <c r="B651" s="2">
        <v>45965</v>
      </c>
      <c r="C651" t="s">
        <v>470</v>
      </c>
      <c r="D651" t="s">
        <v>40</v>
      </c>
      <c r="E651" t="s">
        <v>28</v>
      </c>
      <c r="F651" t="s">
        <v>18</v>
      </c>
      <c r="G651" t="s">
        <v>60</v>
      </c>
      <c r="H651">
        <v>10</v>
      </c>
      <c r="I651" s="3">
        <v>1800</v>
      </c>
      <c r="J651" s="3">
        <v>2800</v>
      </c>
      <c r="K651" s="3">
        <v>28000</v>
      </c>
      <c r="L651" s="3">
        <v>18000</v>
      </c>
      <c r="M651" s="3">
        <v>10000</v>
      </c>
      <c r="N651" s="5">
        <v>0.35714285714285721</v>
      </c>
    </row>
    <row r="652" spans="1:14" x14ac:dyDescent="0.3">
      <c r="A652" t="s">
        <v>838</v>
      </c>
      <c r="B652" s="2">
        <v>45827</v>
      </c>
      <c r="C652" t="s">
        <v>215</v>
      </c>
      <c r="D652" t="s">
        <v>46</v>
      </c>
      <c r="E652" t="s">
        <v>17</v>
      </c>
      <c r="F652" t="s">
        <v>18</v>
      </c>
      <c r="G652" t="s">
        <v>72</v>
      </c>
      <c r="H652">
        <v>2</v>
      </c>
      <c r="I652" s="3">
        <v>900</v>
      </c>
      <c r="J652" s="3">
        <v>1500</v>
      </c>
      <c r="K652" s="3">
        <v>3000</v>
      </c>
      <c r="L652" s="3">
        <v>1800</v>
      </c>
      <c r="M652" s="3">
        <v>1200</v>
      </c>
      <c r="N652" s="5">
        <v>0.4</v>
      </c>
    </row>
    <row r="653" spans="1:14" x14ac:dyDescent="0.3">
      <c r="A653" t="s">
        <v>839</v>
      </c>
      <c r="B653" s="2">
        <v>45996</v>
      </c>
      <c r="C653" t="s">
        <v>379</v>
      </c>
      <c r="D653" t="s">
        <v>35</v>
      </c>
      <c r="E653" t="s">
        <v>32</v>
      </c>
      <c r="F653" t="s">
        <v>47</v>
      </c>
      <c r="G653" t="s">
        <v>48</v>
      </c>
      <c r="H653">
        <v>18</v>
      </c>
      <c r="I653" s="3">
        <v>2800</v>
      </c>
      <c r="J653" s="3">
        <v>4200</v>
      </c>
      <c r="K653" s="3">
        <v>75600</v>
      </c>
      <c r="L653" s="3">
        <v>50400</v>
      </c>
      <c r="M653" s="3">
        <v>25200</v>
      </c>
      <c r="N653" s="5">
        <v>0.33333333333333331</v>
      </c>
    </row>
    <row r="654" spans="1:14" x14ac:dyDescent="0.3">
      <c r="A654" t="s">
        <v>840</v>
      </c>
      <c r="B654" s="2">
        <v>45984</v>
      </c>
      <c r="C654" t="s">
        <v>75</v>
      </c>
      <c r="D654" t="s">
        <v>35</v>
      </c>
      <c r="E654" t="s">
        <v>17</v>
      </c>
      <c r="F654" t="s">
        <v>18</v>
      </c>
      <c r="G654" t="s">
        <v>72</v>
      </c>
      <c r="H654">
        <v>16</v>
      </c>
      <c r="I654" s="3">
        <v>900</v>
      </c>
      <c r="J654" s="3">
        <v>1500</v>
      </c>
      <c r="K654" s="3">
        <v>24000</v>
      </c>
      <c r="L654" s="3">
        <v>14400</v>
      </c>
      <c r="M654" s="3">
        <v>9600</v>
      </c>
      <c r="N654" s="5">
        <v>0.4</v>
      </c>
    </row>
    <row r="655" spans="1:14" x14ac:dyDescent="0.3">
      <c r="A655" t="s">
        <v>841</v>
      </c>
      <c r="B655" s="2">
        <v>45798</v>
      </c>
      <c r="C655" t="s">
        <v>95</v>
      </c>
      <c r="D655" t="s">
        <v>46</v>
      </c>
      <c r="E655" t="s">
        <v>23</v>
      </c>
      <c r="F655" t="s">
        <v>24</v>
      </c>
      <c r="G655" t="s">
        <v>25</v>
      </c>
      <c r="H655">
        <v>13</v>
      </c>
      <c r="I655" s="3">
        <v>15000</v>
      </c>
      <c r="J655" s="3">
        <v>19500</v>
      </c>
      <c r="K655" s="3">
        <v>253500</v>
      </c>
      <c r="L655" s="3">
        <v>195000</v>
      </c>
      <c r="M655" s="3">
        <v>58500</v>
      </c>
      <c r="N655" s="5">
        <v>0.23076923076923081</v>
      </c>
    </row>
    <row r="656" spans="1:14" x14ac:dyDescent="0.3">
      <c r="A656" t="s">
        <v>842</v>
      </c>
      <c r="B656" s="2">
        <v>45709</v>
      </c>
      <c r="C656" t="s">
        <v>319</v>
      </c>
      <c r="D656" t="s">
        <v>16</v>
      </c>
      <c r="E656" t="s">
        <v>55</v>
      </c>
      <c r="F656" t="s">
        <v>18</v>
      </c>
      <c r="G656" t="s">
        <v>76</v>
      </c>
      <c r="H656">
        <v>18</v>
      </c>
      <c r="I656" s="3">
        <v>2500</v>
      </c>
      <c r="J656" s="3">
        <v>3600</v>
      </c>
      <c r="K656" s="3">
        <v>64800</v>
      </c>
      <c r="L656" s="3">
        <v>45000</v>
      </c>
      <c r="M656" s="3">
        <v>19800</v>
      </c>
      <c r="N656" s="5">
        <v>0.30555555555555558</v>
      </c>
    </row>
    <row r="657" spans="1:14" x14ac:dyDescent="0.3">
      <c r="A657" t="s">
        <v>843</v>
      </c>
      <c r="B657" s="2">
        <v>45972</v>
      </c>
      <c r="C657" t="s">
        <v>719</v>
      </c>
      <c r="D657" t="s">
        <v>22</v>
      </c>
      <c r="E657" t="s">
        <v>23</v>
      </c>
      <c r="F657" t="s">
        <v>41</v>
      </c>
      <c r="G657" t="s">
        <v>42</v>
      </c>
      <c r="H657">
        <v>3</v>
      </c>
      <c r="I657" s="3">
        <v>8500</v>
      </c>
      <c r="J657" s="3">
        <v>12000</v>
      </c>
      <c r="K657" s="3">
        <v>36000</v>
      </c>
      <c r="L657" s="3">
        <v>25500</v>
      </c>
      <c r="M657" s="3">
        <v>10500</v>
      </c>
      <c r="N657" s="5">
        <v>0.29166666666666669</v>
      </c>
    </row>
    <row r="658" spans="1:14" x14ac:dyDescent="0.3">
      <c r="A658" t="s">
        <v>844</v>
      </c>
      <c r="B658" s="2">
        <v>46003</v>
      </c>
      <c r="C658" t="s">
        <v>180</v>
      </c>
      <c r="D658" t="s">
        <v>46</v>
      </c>
      <c r="E658" t="s">
        <v>36</v>
      </c>
      <c r="F658" t="s">
        <v>18</v>
      </c>
      <c r="G658" t="s">
        <v>37</v>
      </c>
      <c r="H658">
        <v>8</v>
      </c>
      <c r="I658" s="3">
        <v>400</v>
      </c>
      <c r="J658" s="3">
        <v>650</v>
      </c>
      <c r="K658" s="3">
        <v>5200</v>
      </c>
      <c r="L658" s="3">
        <v>3200</v>
      </c>
      <c r="M658" s="3">
        <v>2000</v>
      </c>
      <c r="N658" s="5">
        <v>0.38461538461538458</v>
      </c>
    </row>
    <row r="659" spans="1:14" x14ac:dyDescent="0.3">
      <c r="A659" t="s">
        <v>845</v>
      </c>
      <c r="B659" s="2">
        <v>45723</v>
      </c>
      <c r="C659" t="s">
        <v>182</v>
      </c>
      <c r="D659" t="s">
        <v>40</v>
      </c>
      <c r="E659" t="s">
        <v>55</v>
      </c>
      <c r="F659" t="s">
        <v>41</v>
      </c>
      <c r="G659" t="s">
        <v>42</v>
      </c>
      <c r="H659">
        <v>3</v>
      </c>
      <c r="I659" s="3">
        <v>8500</v>
      </c>
      <c r="J659" s="3">
        <v>12000</v>
      </c>
      <c r="K659" s="3">
        <v>36000</v>
      </c>
      <c r="L659" s="3">
        <v>25500</v>
      </c>
      <c r="M659" s="3">
        <v>10500</v>
      </c>
      <c r="N659" s="5">
        <v>0.29166666666666669</v>
      </c>
    </row>
    <row r="660" spans="1:14" x14ac:dyDescent="0.3">
      <c r="A660" t="s">
        <v>846</v>
      </c>
      <c r="B660" s="2">
        <v>45992</v>
      </c>
      <c r="C660" t="s">
        <v>191</v>
      </c>
      <c r="D660" t="s">
        <v>22</v>
      </c>
      <c r="E660" t="s">
        <v>17</v>
      </c>
      <c r="F660" t="s">
        <v>24</v>
      </c>
      <c r="G660" t="s">
        <v>63</v>
      </c>
      <c r="H660">
        <v>8</v>
      </c>
      <c r="I660" s="3">
        <v>42000</v>
      </c>
      <c r="J660" s="3">
        <v>55000</v>
      </c>
      <c r="K660" s="3">
        <v>440000</v>
      </c>
      <c r="L660" s="3">
        <v>336000</v>
      </c>
      <c r="M660" s="3">
        <v>104000</v>
      </c>
      <c r="N660" s="5">
        <v>0.23636363636363639</v>
      </c>
    </row>
    <row r="661" spans="1:14" x14ac:dyDescent="0.3">
      <c r="A661" t="s">
        <v>847</v>
      </c>
      <c r="B661" s="2">
        <v>45989</v>
      </c>
      <c r="C661" t="s">
        <v>97</v>
      </c>
      <c r="D661" t="s">
        <v>16</v>
      </c>
      <c r="E661" t="s">
        <v>36</v>
      </c>
      <c r="F661" t="s">
        <v>24</v>
      </c>
      <c r="G661" t="s">
        <v>29</v>
      </c>
      <c r="H661">
        <v>18</v>
      </c>
      <c r="I661" s="3">
        <v>12000</v>
      </c>
      <c r="J661" s="3">
        <v>16500</v>
      </c>
      <c r="K661" s="3">
        <v>297000</v>
      </c>
      <c r="L661" s="3">
        <v>216000</v>
      </c>
      <c r="M661" s="3">
        <v>81000</v>
      </c>
      <c r="N661" s="5">
        <v>0.27272727272727271</v>
      </c>
    </row>
    <row r="662" spans="1:14" x14ac:dyDescent="0.3">
      <c r="A662" t="s">
        <v>848</v>
      </c>
      <c r="B662" s="2">
        <v>45829</v>
      </c>
      <c r="C662" t="s">
        <v>274</v>
      </c>
      <c r="D662" t="s">
        <v>40</v>
      </c>
      <c r="E662" t="s">
        <v>32</v>
      </c>
      <c r="F662" t="s">
        <v>24</v>
      </c>
      <c r="G662" t="s">
        <v>29</v>
      </c>
      <c r="H662">
        <v>2</v>
      </c>
      <c r="I662" s="3">
        <v>12000</v>
      </c>
      <c r="J662" s="3">
        <v>16500</v>
      </c>
      <c r="K662" s="3">
        <v>33000</v>
      </c>
      <c r="L662" s="3">
        <v>24000</v>
      </c>
      <c r="M662" s="3">
        <v>9000</v>
      </c>
      <c r="N662" s="5">
        <v>0.27272727272727271</v>
      </c>
    </row>
    <row r="663" spans="1:14" x14ac:dyDescent="0.3">
      <c r="A663" t="s">
        <v>849</v>
      </c>
      <c r="B663" s="2">
        <v>45965</v>
      </c>
      <c r="C663" t="s">
        <v>223</v>
      </c>
      <c r="D663" t="s">
        <v>46</v>
      </c>
      <c r="E663" t="s">
        <v>17</v>
      </c>
      <c r="F663" t="s">
        <v>18</v>
      </c>
      <c r="G663" t="s">
        <v>37</v>
      </c>
      <c r="H663">
        <v>3</v>
      </c>
      <c r="I663" s="3">
        <v>400</v>
      </c>
      <c r="J663" s="3">
        <v>650</v>
      </c>
      <c r="K663" s="3">
        <v>1950</v>
      </c>
      <c r="L663" s="3">
        <v>1200</v>
      </c>
      <c r="M663" s="3">
        <v>750</v>
      </c>
      <c r="N663" s="5">
        <v>0.38461538461538458</v>
      </c>
    </row>
    <row r="664" spans="1:14" x14ac:dyDescent="0.3">
      <c r="A664" t="s">
        <v>850</v>
      </c>
      <c r="B664" s="2">
        <v>45995</v>
      </c>
      <c r="C664" t="s">
        <v>50</v>
      </c>
      <c r="D664" t="s">
        <v>46</v>
      </c>
      <c r="E664" t="s">
        <v>28</v>
      </c>
      <c r="F664" t="s">
        <v>18</v>
      </c>
      <c r="G664" t="s">
        <v>76</v>
      </c>
      <c r="H664">
        <v>14</v>
      </c>
      <c r="I664" s="3">
        <v>2500</v>
      </c>
      <c r="J664" s="3">
        <v>3600</v>
      </c>
      <c r="K664" s="3">
        <v>50400</v>
      </c>
      <c r="L664" s="3">
        <v>35000</v>
      </c>
      <c r="M664" s="3">
        <v>15400</v>
      </c>
      <c r="N664" s="5">
        <v>0.30555555555555558</v>
      </c>
    </row>
    <row r="665" spans="1:14" x14ac:dyDescent="0.3">
      <c r="A665" t="s">
        <v>851</v>
      </c>
      <c r="B665" s="2">
        <v>45726</v>
      </c>
      <c r="C665" t="s">
        <v>440</v>
      </c>
      <c r="D665" t="s">
        <v>22</v>
      </c>
      <c r="E665" t="s">
        <v>55</v>
      </c>
      <c r="F665" t="s">
        <v>24</v>
      </c>
      <c r="G665" t="s">
        <v>63</v>
      </c>
      <c r="H665">
        <v>12</v>
      </c>
      <c r="I665" s="3">
        <v>42000</v>
      </c>
      <c r="J665" s="3">
        <v>55000</v>
      </c>
      <c r="K665" s="3">
        <v>660000</v>
      </c>
      <c r="L665" s="3">
        <v>504000</v>
      </c>
      <c r="M665" s="3">
        <v>156000</v>
      </c>
      <c r="N665" s="5">
        <v>0.23636363636363639</v>
      </c>
    </row>
    <row r="666" spans="1:14" x14ac:dyDescent="0.3">
      <c r="A666" t="s">
        <v>852</v>
      </c>
      <c r="B666" s="2">
        <v>45953</v>
      </c>
      <c r="C666" t="s">
        <v>371</v>
      </c>
      <c r="D666" t="s">
        <v>40</v>
      </c>
      <c r="E666" t="s">
        <v>23</v>
      </c>
      <c r="F666" t="s">
        <v>47</v>
      </c>
      <c r="G666" t="s">
        <v>48</v>
      </c>
      <c r="H666">
        <v>7</v>
      </c>
      <c r="I666" s="3">
        <v>2800</v>
      </c>
      <c r="J666" s="3">
        <v>4200</v>
      </c>
      <c r="K666" s="3">
        <v>29400</v>
      </c>
      <c r="L666" s="3">
        <v>19600</v>
      </c>
      <c r="M666" s="3">
        <v>9800</v>
      </c>
      <c r="N666" s="5">
        <v>0.33333333333333331</v>
      </c>
    </row>
    <row r="667" spans="1:14" x14ac:dyDescent="0.3">
      <c r="A667" t="s">
        <v>853</v>
      </c>
      <c r="B667" s="2">
        <v>45705</v>
      </c>
      <c r="C667" t="s">
        <v>424</v>
      </c>
      <c r="D667" t="s">
        <v>46</v>
      </c>
      <c r="E667" t="s">
        <v>55</v>
      </c>
      <c r="F667" t="s">
        <v>24</v>
      </c>
      <c r="G667" t="s">
        <v>25</v>
      </c>
      <c r="H667">
        <v>9</v>
      </c>
      <c r="I667" s="3">
        <v>15000</v>
      </c>
      <c r="J667" s="3">
        <v>19500</v>
      </c>
      <c r="K667" s="3">
        <v>175500</v>
      </c>
      <c r="L667" s="3">
        <v>135000</v>
      </c>
      <c r="M667" s="3">
        <v>40500</v>
      </c>
      <c r="N667" s="5">
        <v>0.23076923076923081</v>
      </c>
    </row>
    <row r="668" spans="1:14" x14ac:dyDescent="0.3">
      <c r="A668" t="s">
        <v>854</v>
      </c>
      <c r="B668" s="2">
        <v>45780</v>
      </c>
      <c r="C668" t="s">
        <v>89</v>
      </c>
      <c r="D668" t="s">
        <v>46</v>
      </c>
      <c r="E668" t="s">
        <v>28</v>
      </c>
      <c r="F668" t="s">
        <v>18</v>
      </c>
      <c r="G668" t="s">
        <v>37</v>
      </c>
      <c r="H668">
        <v>9</v>
      </c>
      <c r="I668" s="3">
        <v>400</v>
      </c>
      <c r="J668" s="3">
        <v>650</v>
      </c>
      <c r="K668" s="3">
        <v>5850</v>
      </c>
      <c r="L668" s="3">
        <v>3600</v>
      </c>
      <c r="M668" s="3">
        <v>2250</v>
      </c>
      <c r="N668" s="5">
        <v>0.38461538461538458</v>
      </c>
    </row>
    <row r="669" spans="1:14" x14ac:dyDescent="0.3">
      <c r="A669" t="s">
        <v>855</v>
      </c>
      <c r="B669" s="2">
        <v>45971</v>
      </c>
      <c r="C669" t="s">
        <v>412</v>
      </c>
      <c r="D669" t="s">
        <v>22</v>
      </c>
      <c r="E669" t="s">
        <v>17</v>
      </c>
      <c r="F669" t="s">
        <v>18</v>
      </c>
      <c r="G669" t="s">
        <v>37</v>
      </c>
      <c r="H669">
        <v>16</v>
      </c>
      <c r="I669" s="3">
        <v>400</v>
      </c>
      <c r="J669" s="3">
        <v>650</v>
      </c>
      <c r="K669" s="3">
        <v>10400</v>
      </c>
      <c r="L669" s="3">
        <v>6400</v>
      </c>
      <c r="M669" s="3">
        <v>4000</v>
      </c>
      <c r="N669" s="5">
        <v>0.38461538461538458</v>
      </c>
    </row>
    <row r="670" spans="1:14" x14ac:dyDescent="0.3">
      <c r="A670" t="s">
        <v>856</v>
      </c>
      <c r="B670" s="2">
        <v>45775</v>
      </c>
      <c r="C670" t="s">
        <v>276</v>
      </c>
      <c r="D670" t="s">
        <v>16</v>
      </c>
      <c r="E670" t="s">
        <v>23</v>
      </c>
      <c r="F670" t="s">
        <v>18</v>
      </c>
      <c r="G670" t="s">
        <v>60</v>
      </c>
      <c r="H670">
        <v>14</v>
      </c>
      <c r="I670" s="3">
        <v>1800</v>
      </c>
      <c r="J670" s="3">
        <v>2800</v>
      </c>
      <c r="K670" s="3">
        <v>39200</v>
      </c>
      <c r="L670" s="3">
        <v>25200</v>
      </c>
      <c r="M670" s="3">
        <v>14000</v>
      </c>
      <c r="N670" s="5">
        <v>0.35714285714285721</v>
      </c>
    </row>
    <row r="671" spans="1:14" x14ac:dyDescent="0.3">
      <c r="A671" t="s">
        <v>857</v>
      </c>
      <c r="B671" s="2">
        <v>45672</v>
      </c>
      <c r="C671" t="s">
        <v>121</v>
      </c>
      <c r="D671" t="s">
        <v>46</v>
      </c>
      <c r="E671" t="s">
        <v>55</v>
      </c>
      <c r="F671" t="s">
        <v>47</v>
      </c>
      <c r="G671" t="s">
        <v>48</v>
      </c>
      <c r="H671">
        <v>8</v>
      </c>
      <c r="I671" s="3">
        <v>2800</v>
      </c>
      <c r="J671" s="3">
        <v>4200</v>
      </c>
      <c r="K671" s="3">
        <v>33600</v>
      </c>
      <c r="L671" s="3">
        <v>22400</v>
      </c>
      <c r="M671" s="3">
        <v>11200</v>
      </c>
      <c r="N671" s="5">
        <v>0.33333333333333331</v>
      </c>
    </row>
    <row r="672" spans="1:14" x14ac:dyDescent="0.3">
      <c r="A672" t="s">
        <v>858</v>
      </c>
      <c r="B672" s="2">
        <v>45707</v>
      </c>
      <c r="C672" t="s">
        <v>379</v>
      </c>
      <c r="D672" t="s">
        <v>16</v>
      </c>
      <c r="E672" t="s">
        <v>17</v>
      </c>
      <c r="F672" t="s">
        <v>24</v>
      </c>
      <c r="G672" t="s">
        <v>29</v>
      </c>
      <c r="H672">
        <v>2</v>
      </c>
      <c r="I672" s="3">
        <v>12000</v>
      </c>
      <c r="J672" s="3">
        <v>16500</v>
      </c>
      <c r="K672" s="3">
        <v>33000</v>
      </c>
      <c r="L672" s="3">
        <v>24000</v>
      </c>
      <c r="M672" s="3">
        <v>9000</v>
      </c>
      <c r="N672" s="5">
        <v>0.27272727272727271</v>
      </c>
    </row>
    <row r="673" spans="1:14" x14ac:dyDescent="0.3">
      <c r="A673" t="s">
        <v>859</v>
      </c>
      <c r="B673" s="2">
        <v>45984</v>
      </c>
      <c r="C673" t="s">
        <v>121</v>
      </c>
      <c r="D673" t="s">
        <v>46</v>
      </c>
      <c r="E673" t="s">
        <v>55</v>
      </c>
      <c r="F673" t="s">
        <v>18</v>
      </c>
      <c r="G673" t="s">
        <v>76</v>
      </c>
      <c r="H673">
        <v>14</v>
      </c>
      <c r="I673" s="3">
        <v>2500</v>
      </c>
      <c r="J673" s="3">
        <v>3600</v>
      </c>
      <c r="K673" s="3">
        <v>50400</v>
      </c>
      <c r="L673" s="3">
        <v>35000</v>
      </c>
      <c r="M673" s="3">
        <v>15400</v>
      </c>
      <c r="N673" s="5">
        <v>0.30555555555555558</v>
      </c>
    </row>
    <row r="674" spans="1:14" x14ac:dyDescent="0.3">
      <c r="A674" t="s">
        <v>860</v>
      </c>
      <c r="B674" s="2">
        <v>45745</v>
      </c>
      <c r="C674" t="s">
        <v>140</v>
      </c>
      <c r="D674" t="s">
        <v>22</v>
      </c>
      <c r="E674" t="s">
        <v>17</v>
      </c>
      <c r="F674" t="s">
        <v>18</v>
      </c>
      <c r="G674" t="s">
        <v>72</v>
      </c>
      <c r="H674">
        <v>16</v>
      </c>
      <c r="I674" s="3">
        <v>900</v>
      </c>
      <c r="J674" s="3">
        <v>1500</v>
      </c>
      <c r="K674" s="3">
        <v>24000</v>
      </c>
      <c r="L674" s="3">
        <v>14400</v>
      </c>
      <c r="M674" s="3">
        <v>9600</v>
      </c>
      <c r="N674" s="5">
        <v>0.4</v>
      </c>
    </row>
    <row r="675" spans="1:14" x14ac:dyDescent="0.3">
      <c r="A675" t="s">
        <v>861</v>
      </c>
      <c r="B675" s="2">
        <v>45875</v>
      </c>
      <c r="C675" t="s">
        <v>119</v>
      </c>
      <c r="D675" t="s">
        <v>46</v>
      </c>
      <c r="E675" t="s">
        <v>17</v>
      </c>
      <c r="F675" t="s">
        <v>24</v>
      </c>
      <c r="G675" t="s">
        <v>29</v>
      </c>
      <c r="H675">
        <v>7</v>
      </c>
      <c r="I675" s="3">
        <v>12000</v>
      </c>
      <c r="J675" s="3">
        <v>16500</v>
      </c>
      <c r="K675" s="3">
        <v>115500</v>
      </c>
      <c r="L675" s="3">
        <v>84000</v>
      </c>
      <c r="M675" s="3">
        <v>31500</v>
      </c>
      <c r="N675" s="5">
        <v>0.27272727272727271</v>
      </c>
    </row>
    <row r="676" spans="1:14" x14ac:dyDescent="0.3">
      <c r="A676" t="s">
        <v>862</v>
      </c>
      <c r="B676" s="2">
        <v>46013</v>
      </c>
      <c r="C676" t="s">
        <v>123</v>
      </c>
      <c r="D676" t="s">
        <v>35</v>
      </c>
      <c r="E676" t="s">
        <v>28</v>
      </c>
      <c r="F676" t="s">
        <v>18</v>
      </c>
      <c r="G676" t="s">
        <v>19</v>
      </c>
      <c r="H676">
        <v>9</v>
      </c>
      <c r="I676" s="3">
        <v>1800</v>
      </c>
      <c r="J676" s="3">
        <v>2600</v>
      </c>
      <c r="K676" s="3">
        <v>23400</v>
      </c>
      <c r="L676" s="3">
        <v>16200</v>
      </c>
      <c r="M676" s="3">
        <v>7200</v>
      </c>
      <c r="N676" s="5">
        <v>0.30769230769230771</v>
      </c>
    </row>
    <row r="677" spans="1:14" x14ac:dyDescent="0.3">
      <c r="A677" t="s">
        <v>863</v>
      </c>
      <c r="B677" s="2">
        <v>45980</v>
      </c>
      <c r="C677" t="s">
        <v>252</v>
      </c>
      <c r="D677" t="s">
        <v>40</v>
      </c>
      <c r="E677" t="s">
        <v>36</v>
      </c>
      <c r="F677" t="s">
        <v>24</v>
      </c>
      <c r="G677" t="s">
        <v>25</v>
      </c>
      <c r="H677">
        <v>12</v>
      </c>
      <c r="I677" s="3">
        <v>15000</v>
      </c>
      <c r="J677" s="3">
        <v>19500</v>
      </c>
      <c r="K677" s="3">
        <v>234000</v>
      </c>
      <c r="L677" s="3">
        <v>180000</v>
      </c>
      <c r="M677" s="3">
        <v>54000</v>
      </c>
      <c r="N677" s="5">
        <v>0.23076923076923081</v>
      </c>
    </row>
    <row r="678" spans="1:14" x14ac:dyDescent="0.3">
      <c r="A678" t="s">
        <v>864</v>
      </c>
      <c r="B678" s="2">
        <v>46005</v>
      </c>
      <c r="C678" t="s">
        <v>317</v>
      </c>
      <c r="D678" t="s">
        <v>16</v>
      </c>
      <c r="E678" t="s">
        <v>36</v>
      </c>
      <c r="F678" t="s">
        <v>18</v>
      </c>
      <c r="G678" t="s">
        <v>72</v>
      </c>
      <c r="H678">
        <v>15</v>
      </c>
      <c r="I678" s="3">
        <v>900</v>
      </c>
      <c r="J678" s="3">
        <v>1500</v>
      </c>
      <c r="K678" s="3">
        <v>22500</v>
      </c>
      <c r="L678" s="3">
        <v>13500</v>
      </c>
      <c r="M678" s="3">
        <v>9000</v>
      </c>
      <c r="N678" s="5">
        <v>0.4</v>
      </c>
    </row>
    <row r="679" spans="1:14" x14ac:dyDescent="0.3">
      <c r="A679" t="s">
        <v>865</v>
      </c>
      <c r="B679" s="2">
        <v>45799</v>
      </c>
      <c r="C679" t="s">
        <v>612</v>
      </c>
      <c r="D679" t="s">
        <v>46</v>
      </c>
      <c r="E679" t="s">
        <v>36</v>
      </c>
      <c r="F679" t="s">
        <v>47</v>
      </c>
      <c r="G679" t="s">
        <v>48</v>
      </c>
      <c r="H679">
        <v>12</v>
      </c>
      <c r="I679" s="3">
        <v>2800</v>
      </c>
      <c r="J679" s="3">
        <v>4200</v>
      </c>
      <c r="K679" s="3">
        <v>50400</v>
      </c>
      <c r="L679" s="3">
        <v>33600</v>
      </c>
      <c r="M679" s="3">
        <v>16800</v>
      </c>
      <c r="N679" s="5">
        <v>0.33333333333333331</v>
      </c>
    </row>
    <row r="680" spans="1:14" x14ac:dyDescent="0.3">
      <c r="A680" t="s">
        <v>866</v>
      </c>
      <c r="B680" s="2">
        <v>45877</v>
      </c>
      <c r="C680" t="s">
        <v>300</v>
      </c>
      <c r="D680" t="s">
        <v>22</v>
      </c>
      <c r="E680" t="s">
        <v>55</v>
      </c>
      <c r="F680" t="s">
        <v>24</v>
      </c>
      <c r="G680" t="s">
        <v>63</v>
      </c>
      <c r="H680">
        <v>15</v>
      </c>
      <c r="I680" s="3">
        <v>42000</v>
      </c>
      <c r="J680" s="3">
        <v>55000</v>
      </c>
      <c r="K680" s="3">
        <v>825000</v>
      </c>
      <c r="L680" s="3">
        <v>630000</v>
      </c>
      <c r="M680" s="3">
        <v>195000</v>
      </c>
      <c r="N680" s="5">
        <v>0.23636363636363639</v>
      </c>
    </row>
    <row r="681" spans="1:14" x14ac:dyDescent="0.3">
      <c r="A681" t="s">
        <v>867</v>
      </c>
      <c r="B681" s="2">
        <v>45690</v>
      </c>
      <c r="C681" t="s">
        <v>69</v>
      </c>
      <c r="D681" t="s">
        <v>16</v>
      </c>
      <c r="E681" t="s">
        <v>36</v>
      </c>
      <c r="F681" t="s">
        <v>24</v>
      </c>
      <c r="G681" t="s">
        <v>25</v>
      </c>
      <c r="H681">
        <v>6</v>
      </c>
      <c r="I681" s="3">
        <v>15000</v>
      </c>
      <c r="J681" s="3">
        <v>19500</v>
      </c>
      <c r="K681" s="3">
        <v>117000</v>
      </c>
      <c r="L681" s="3">
        <v>90000</v>
      </c>
      <c r="M681" s="3">
        <v>27000</v>
      </c>
      <c r="N681" s="5">
        <v>0.23076923076923081</v>
      </c>
    </row>
    <row r="682" spans="1:14" x14ac:dyDescent="0.3">
      <c r="A682" t="s">
        <v>868</v>
      </c>
      <c r="B682" s="2">
        <v>45660</v>
      </c>
      <c r="C682" t="s">
        <v>178</v>
      </c>
      <c r="D682" t="s">
        <v>16</v>
      </c>
      <c r="E682" t="s">
        <v>32</v>
      </c>
      <c r="F682" t="s">
        <v>18</v>
      </c>
      <c r="G682" t="s">
        <v>60</v>
      </c>
      <c r="H682">
        <v>11</v>
      </c>
      <c r="I682" s="3">
        <v>1800</v>
      </c>
      <c r="J682" s="3">
        <v>2800</v>
      </c>
      <c r="K682" s="3">
        <v>30800</v>
      </c>
      <c r="L682" s="3">
        <v>19800</v>
      </c>
      <c r="M682" s="3">
        <v>11000</v>
      </c>
      <c r="N682" s="5">
        <v>0.35714285714285721</v>
      </c>
    </row>
    <row r="683" spans="1:14" x14ac:dyDescent="0.3">
      <c r="A683" t="s">
        <v>869</v>
      </c>
      <c r="B683" s="2">
        <v>45972</v>
      </c>
      <c r="C683" t="s">
        <v>71</v>
      </c>
      <c r="D683" t="s">
        <v>35</v>
      </c>
      <c r="E683" t="s">
        <v>17</v>
      </c>
      <c r="F683" t="s">
        <v>18</v>
      </c>
      <c r="G683" t="s">
        <v>76</v>
      </c>
      <c r="H683">
        <v>18</v>
      </c>
      <c r="I683" s="3">
        <v>2500</v>
      </c>
      <c r="J683" s="3">
        <v>3600</v>
      </c>
      <c r="K683" s="3">
        <v>64800</v>
      </c>
      <c r="L683" s="3">
        <v>45000</v>
      </c>
      <c r="M683" s="3">
        <v>19800</v>
      </c>
      <c r="N683" s="5">
        <v>0.30555555555555558</v>
      </c>
    </row>
    <row r="684" spans="1:14" x14ac:dyDescent="0.3">
      <c r="A684" t="s">
        <v>870</v>
      </c>
      <c r="B684" s="2">
        <v>45663</v>
      </c>
      <c r="C684" t="s">
        <v>161</v>
      </c>
      <c r="D684" t="s">
        <v>46</v>
      </c>
      <c r="E684" t="s">
        <v>55</v>
      </c>
      <c r="F684" t="s">
        <v>24</v>
      </c>
      <c r="G684" t="s">
        <v>29</v>
      </c>
      <c r="H684">
        <v>4</v>
      </c>
      <c r="I684" s="3">
        <v>12000</v>
      </c>
      <c r="J684" s="3">
        <v>16500</v>
      </c>
      <c r="K684" s="3">
        <v>66000</v>
      </c>
      <c r="L684" s="3">
        <v>48000</v>
      </c>
      <c r="M684" s="3">
        <v>18000</v>
      </c>
      <c r="N684" s="5">
        <v>0.27272727272727271</v>
      </c>
    </row>
    <row r="685" spans="1:14" x14ac:dyDescent="0.3">
      <c r="A685" t="s">
        <v>871</v>
      </c>
      <c r="B685" s="2">
        <v>45710</v>
      </c>
      <c r="C685" t="s">
        <v>138</v>
      </c>
      <c r="D685" t="s">
        <v>35</v>
      </c>
      <c r="E685" t="s">
        <v>36</v>
      </c>
      <c r="F685" t="s">
        <v>24</v>
      </c>
      <c r="G685" t="s">
        <v>63</v>
      </c>
      <c r="H685">
        <v>20</v>
      </c>
      <c r="I685" s="3">
        <v>42000</v>
      </c>
      <c r="J685" s="3">
        <v>55000</v>
      </c>
      <c r="K685" s="3">
        <v>1100000</v>
      </c>
      <c r="L685" s="3">
        <v>840000</v>
      </c>
      <c r="M685" s="3">
        <v>260000</v>
      </c>
      <c r="N685" s="5">
        <v>0.23636363636363639</v>
      </c>
    </row>
    <row r="686" spans="1:14" x14ac:dyDescent="0.3">
      <c r="A686" t="s">
        <v>872</v>
      </c>
      <c r="B686" s="2">
        <v>46001</v>
      </c>
      <c r="C686" t="s">
        <v>374</v>
      </c>
      <c r="D686" t="s">
        <v>40</v>
      </c>
      <c r="E686" t="s">
        <v>17</v>
      </c>
      <c r="F686" t="s">
        <v>41</v>
      </c>
      <c r="G686" t="s">
        <v>42</v>
      </c>
      <c r="H686">
        <v>12</v>
      </c>
      <c r="I686" s="3">
        <v>8500</v>
      </c>
      <c r="J686" s="3">
        <v>12000</v>
      </c>
      <c r="K686" s="3">
        <v>144000</v>
      </c>
      <c r="L686" s="3">
        <v>102000</v>
      </c>
      <c r="M686" s="3">
        <v>42000</v>
      </c>
      <c r="N686" s="5">
        <v>0.29166666666666669</v>
      </c>
    </row>
    <row r="687" spans="1:14" x14ac:dyDescent="0.3">
      <c r="A687" t="s">
        <v>873</v>
      </c>
      <c r="B687" s="2">
        <v>45924</v>
      </c>
      <c r="C687" t="s">
        <v>396</v>
      </c>
      <c r="D687" t="s">
        <v>35</v>
      </c>
      <c r="E687" t="s">
        <v>17</v>
      </c>
      <c r="F687" t="s">
        <v>24</v>
      </c>
      <c r="G687" t="s">
        <v>25</v>
      </c>
      <c r="H687">
        <v>17</v>
      </c>
      <c r="I687" s="3">
        <v>15000</v>
      </c>
      <c r="J687" s="3">
        <v>19500</v>
      </c>
      <c r="K687" s="3">
        <v>331500</v>
      </c>
      <c r="L687" s="3">
        <v>255000</v>
      </c>
      <c r="M687" s="3">
        <v>76500</v>
      </c>
      <c r="N687" s="5">
        <v>0.23076923076923081</v>
      </c>
    </row>
    <row r="688" spans="1:14" x14ac:dyDescent="0.3">
      <c r="A688" t="s">
        <v>874</v>
      </c>
      <c r="B688" s="2">
        <v>45979</v>
      </c>
      <c r="C688" t="s">
        <v>99</v>
      </c>
      <c r="D688" t="s">
        <v>46</v>
      </c>
      <c r="E688" t="s">
        <v>55</v>
      </c>
      <c r="F688" t="s">
        <v>18</v>
      </c>
      <c r="G688" t="s">
        <v>37</v>
      </c>
      <c r="H688">
        <v>6</v>
      </c>
      <c r="I688" s="3">
        <v>400</v>
      </c>
      <c r="J688" s="3">
        <v>650</v>
      </c>
      <c r="K688" s="3">
        <v>3900</v>
      </c>
      <c r="L688" s="3">
        <v>2400</v>
      </c>
      <c r="M688" s="3">
        <v>1500</v>
      </c>
      <c r="N688" s="5">
        <v>0.38461538461538458</v>
      </c>
    </row>
    <row r="689" spans="1:14" x14ac:dyDescent="0.3">
      <c r="A689" t="s">
        <v>875</v>
      </c>
      <c r="B689" s="2">
        <v>45735</v>
      </c>
      <c r="C689" t="s">
        <v>165</v>
      </c>
      <c r="D689" t="s">
        <v>16</v>
      </c>
      <c r="E689" t="s">
        <v>23</v>
      </c>
      <c r="F689" t="s">
        <v>41</v>
      </c>
      <c r="G689" t="s">
        <v>42</v>
      </c>
      <c r="H689">
        <v>12</v>
      </c>
      <c r="I689" s="3">
        <v>8500</v>
      </c>
      <c r="J689" s="3">
        <v>12000</v>
      </c>
      <c r="K689" s="3">
        <v>144000</v>
      </c>
      <c r="L689" s="3">
        <v>102000</v>
      </c>
      <c r="M689" s="3">
        <v>42000</v>
      </c>
      <c r="N689" s="5">
        <v>0.29166666666666669</v>
      </c>
    </row>
    <row r="690" spans="1:14" x14ac:dyDescent="0.3">
      <c r="A690" t="s">
        <v>876</v>
      </c>
      <c r="B690" s="2">
        <v>45685</v>
      </c>
      <c r="C690" t="s">
        <v>307</v>
      </c>
      <c r="D690" t="s">
        <v>16</v>
      </c>
      <c r="E690" t="s">
        <v>36</v>
      </c>
      <c r="F690" t="s">
        <v>41</v>
      </c>
      <c r="G690" t="s">
        <v>42</v>
      </c>
      <c r="H690">
        <v>17</v>
      </c>
      <c r="I690" s="3">
        <v>8500</v>
      </c>
      <c r="J690" s="3">
        <v>12000</v>
      </c>
      <c r="K690" s="3">
        <v>204000</v>
      </c>
      <c r="L690" s="3">
        <v>144500</v>
      </c>
      <c r="M690" s="3">
        <v>59500</v>
      </c>
      <c r="N690" s="5">
        <v>0.29166666666666669</v>
      </c>
    </row>
    <row r="691" spans="1:14" x14ac:dyDescent="0.3">
      <c r="A691" t="s">
        <v>877</v>
      </c>
      <c r="B691" s="2">
        <v>45771</v>
      </c>
      <c r="C691" t="s">
        <v>317</v>
      </c>
      <c r="D691" t="s">
        <v>46</v>
      </c>
      <c r="E691" t="s">
        <v>32</v>
      </c>
      <c r="F691" t="s">
        <v>18</v>
      </c>
      <c r="G691" t="s">
        <v>19</v>
      </c>
      <c r="H691">
        <v>18</v>
      </c>
      <c r="I691" s="3">
        <v>1800</v>
      </c>
      <c r="J691" s="3">
        <v>2600</v>
      </c>
      <c r="K691" s="3">
        <v>46800</v>
      </c>
      <c r="L691" s="3">
        <v>32400</v>
      </c>
      <c r="M691" s="3">
        <v>14400</v>
      </c>
      <c r="N691" s="5">
        <v>0.30769230769230771</v>
      </c>
    </row>
    <row r="692" spans="1:14" x14ac:dyDescent="0.3">
      <c r="A692" t="s">
        <v>878</v>
      </c>
      <c r="B692" s="2">
        <v>45946</v>
      </c>
      <c r="C692" t="s">
        <v>223</v>
      </c>
      <c r="D692" t="s">
        <v>35</v>
      </c>
      <c r="E692" t="s">
        <v>28</v>
      </c>
      <c r="F692" t="s">
        <v>18</v>
      </c>
      <c r="G692" t="s">
        <v>72</v>
      </c>
      <c r="H692">
        <v>19</v>
      </c>
      <c r="I692" s="3">
        <v>900</v>
      </c>
      <c r="J692" s="3">
        <v>1500</v>
      </c>
      <c r="K692" s="3">
        <v>28500</v>
      </c>
      <c r="L692" s="3">
        <v>17100</v>
      </c>
      <c r="M692" s="3">
        <v>11400</v>
      </c>
      <c r="N692" s="5">
        <v>0.4</v>
      </c>
    </row>
    <row r="693" spans="1:14" x14ac:dyDescent="0.3">
      <c r="A693" t="s">
        <v>879</v>
      </c>
      <c r="B693" s="2">
        <v>45953</v>
      </c>
      <c r="C693" t="s">
        <v>367</v>
      </c>
      <c r="D693" t="s">
        <v>46</v>
      </c>
      <c r="E693" t="s">
        <v>36</v>
      </c>
      <c r="F693" t="s">
        <v>18</v>
      </c>
      <c r="G693" t="s">
        <v>72</v>
      </c>
      <c r="H693">
        <v>18</v>
      </c>
      <c r="I693" s="3">
        <v>900</v>
      </c>
      <c r="J693" s="3">
        <v>1500</v>
      </c>
      <c r="K693" s="3">
        <v>27000</v>
      </c>
      <c r="L693" s="3">
        <v>16200</v>
      </c>
      <c r="M693" s="3">
        <v>10800</v>
      </c>
      <c r="N693" s="5">
        <v>0.4</v>
      </c>
    </row>
    <row r="694" spans="1:14" x14ac:dyDescent="0.3">
      <c r="A694" t="s">
        <v>880</v>
      </c>
      <c r="B694" s="2">
        <v>45840</v>
      </c>
      <c r="C694" t="s">
        <v>530</v>
      </c>
      <c r="D694" t="s">
        <v>40</v>
      </c>
      <c r="E694" t="s">
        <v>28</v>
      </c>
      <c r="F694" t="s">
        <v>18</v>
      </c>
      <c r="G694" t="s">
        <v>37</v>
      </c>
      <c r="H694">
        <v>4</v>
      </c>
      <c r="I694" s="3">
        <v>400</v>
      </c>
      <c r="J694" s="3">
        <v>650</v>
      </c>
      <c r="K694" s="3">
        <v>2600</v>
      </c>
      <c r="L694" s="3">
        <v>1600</v>
      </c>
      <c r="M694" s="3">
        <v>1000</v>
      </c>
      <c r="N694" s="5">
        <v>0.38461538461538458</v>
      </c>
    </row>
    <row r="695" spans="1:14" x14ac:dyDescent="0.3">
      <c r="A695" t="s">
        <v>881</v>
      </c>
      <c r="B695" s="2">
        <v>45863</v>
      </c>
      <c r="C695" t="s">
        <v>116</v>
      </c>
      <c r="D695" t="s">
        <v>35</v>
      </c>
      <c r="E695" t="s">
        <v>55</v>
      </c>
      <c r="F695" t="s">
        <v>41</v>
      </c>
      <c r="G695" t="s">
        <v>42</v>
      </c>
      <c r="H695">
        <v>9</v>
      </c>
      <c r="I695" s="3">
        <v>8500</v>
      </c>
      <c r="J695" s="3">
        <v>12000</v>
      </c>
      <c r="K695" s="3">
        <v>108000</v>
      </c>
      <c r="L695" s="3">
        <v>76500</v>
      </c>
      <c r="M695" s="3">
        <v>31500</v>
      </c>
      <c r="N695" s="5">
        <v>0.29166666666666669</v>
      </c>
    </row>
    <row r="696" spans="1:14" x14ac:dyDescent="0.3">
      <c r="A696" t="s">
        <v>882</v>
      </c>
      <c r="B696" s="2">
        <v>45833</v>
      </c>
      <c r="C696" t="s">
        <v>69</v>
      </c>
      <c r="D696" t="s">
        <v>22</v>
      </c>
      <c r="E696" t="s">
        <v>17</v>
      </c>
      <c r="F696" t="s">
        <v>18</v>
      </c>
      <c r="G696" t="s">
        <v>60</v>
      </c>
      <c r="H696">
        <v>1</v>
      </c>
      <c r="I696" s="3">
        <v>1800</v>
      </c>
      <c r="J696" s="3">
        <v>2800</v>
      </c>
      <c r="K696" s="3">
        <v>2800</v>
      </c>
      <c r="L696" s="3">
        <v>1800</v>
      </c>
      <c r="M696" s="3">
        <v>1000</v>
      </c>
      <c r="N696" s="5">
        <v>0.35714285714285721</v>
      </c>
    </row>
    <row r="697" spans="1:14" x14ac:dyDescent="0.3">
      <c r="A697" t="s">
        <v>883</v>
      </c>
      <c r="B697" s="2">
        <v>45743</v>
      </c>
      <c r="C697" t="s">
        <v>319</v>
      </c>
      <c r="D697" t="s">
        <v>22</v>
      </c>
      <c r="E697" t="s">
        <v>28</v>
      </c>
      <c r="F697" t="s">
        <v>18</v>
      </c>
      <c r="G697" t="s">
        <v>19</v>
      </c>
      <c r="H697">
        <v>8</v>
      </c>
      <c r="I697" s="3">
        <v>1800</v>
      </c>
      <c r="J697" s="3">
        <v>2600</v>
      </c>
      <c r="K697" s="3">
        <v>20800</v>
      </c>
      <c r="L697" s="3">
        <v>14400</v>
      </c>
      <c r="M697" s="3">
        <v>6400</v>
      </c>
      <c r="N697" s="5">
        <v>0.30769230769230771</v>
      </c>
    </row>
    <row r="698" spans="1:14" x14ac:dyDescent="0.3">
      <c r="A698" t="s">
        <v>884</v>
      </c>
      <c r="B698" s="2">
        <v>45993</v>
      </c>
      <c r="C698" t="s">
        <v>57</v>
      </c>
      <c r="D698" t="s">
        <v>16</v>
      </c>
      <c r="E698" t="s">
        <v>32</v>
      </c>
      <c r="F698" t="s">
        <v>18</v>
      </c>
      <c r="G698" t="s">
        <v>72</v>
      </c>
      <c r="H698">
        <v>16</v>
      </c>
      <c r="I698" s="3">
        <v>900</v>
      </c>
      <c r="J698" s="3">
        <v>1500</v>
      </c>
      <c r="K698" s="3">
        <v>24000</v>
      </c>
      <c r="L698" s="3">
        <v>14400</v>
      </c>
      <c r="M698" s="3">
        <v>9600</v>
      </c>
      <c r="N698" s="5">
        <v>0.4</v>
      </c>
    </row>
    <row r="699" spans="1:14" x14ac:dyDescent="0.3">
      <c r="A699" t="s">
        <v>885</v>
      </c>
      <c r="B699" s="2">
        <v>45675</v>
      </c>
      <c r="C699" t="s">
        <v>399</v>
      </c>
      <c r="D699" t="s">
        <v>16</v>
      </c>
      <c r="E699" t="s">
        <v>36</v>
      </c>
      <c r="F699" t="s">
        <v>24</v>
      </c>
      <c r="G699" t="s">
        <v>63</v>
      </c>
      <c r="H699">
        <v>4</v>
      </c>
      <c r="I699" s="3">
        <v>42000</v>
      </c>
      <c r="J699" s="3">
        <v>55000</v>
      </c>
      <c r="K699" s="3">
        <v>220000</v>
      </c>
      <c r="L699" s="3">
        <v>168000</v>
      </c>
      <c r="M699" s="3">
        <v>52000</v>
      </c>
      <c r="N699" s="5">
        <v>0.23636363636363639</v>
      </c>
    </row>
    <row r="700" spans="1:14" x14ac:dyDescent="0.3">
      <c r="A700" t="s">
        <v>886</v>
      </c>
      <c r="B700" s="2">
        <v>46004</v>
      </c>
      <c r="C700" t="s">
        <v>612</v>
      </c>
      <c r="D700" t="s">
        <v>22</v>
      </c>
      <c r="E700" t="s">
        <v>36</v>
      </c>
      <c r="F700" t="s">
        <v>18</v>
      </c>
      <c r="G700" t="s">
        <v>37</v>
      </c>
      <c r="H700">
        <v>9</v>
      </c>
      <c r="I700" s="3">
        <v>400</v>
      </c>
      <c r="J700" s="3">
        <v>650</v>
      </c>
      <c r="K700" s="3">
        <v>5850</v>
      </c>
      <c r="L700" s="3">
        <v>3600</v>
      </c>
      <c r="M700" s="3">
        <v>2250</v>
      </c>
      <c r="N700" s="5">
        <v>0.38461538461538458</v>
      </c>
    </row>
    <row r="701" spans="1:14" x14ac:dyDescent="0.3">
      <c r="A701" t="s">
        <v>887</v>
      </c>
      <c r="B701" s="2">
        <v>45814</v>
      </c>
      <c r="C701" t="s">
        <v>168</v>
      </c>
      <c r="D701" t="s">
        <v>46</v>
      </c>
      <c r="E701" t="s">
        <v>32</v>
      </c>
      <c r="F701" t="s">
        <v>18</v>
      </c>
      <c r="G701" t="s">
        <v>72</v>
      </c>
      <c r="H701">
        <v>9</v>
      </c>
      <c r="I701" s="3">
        <v>900</v>
      </c>
      <c r="J701" s="3">
        <v>1500</v>
      </c>
      <c r="K701" s="3">
        <v>13500</v>
      </c>
      <c r="L701" s="3">
        <v>8100</v>
      </c>
      <c r="M701" s="3">
        <v>5400</v>
      </c>
      <c r="N701" s="5">
        <v>0.4</v>
      </c>
    </row>
    <row r="702" spans="1:14" x14ac:dyDescent="0.3">
      <c r="A702" t="s">
        <v>888</v>
      </c>
      <c r="B702" s="2">
        <v>45695</v>
      </c>
      <c r="C702" t="s">
        <v>525</v>
      </c>
      <c r="D702" t="s">
        <v>35</v>
      </c>
      <c r="E702" t="s">
        <v>32</v>
      </c>
      <c r="F702" t="s">
        <v>24</v>
      </c>
      <c r="G702" t="s">
        <v>25</v>
      </c>
      <c r="H702">
        <v>19</v>
      </c>
      <c r="I702" s="3">
        <v>15000</v>
      </c>
      <c r="J702" s="3">
        <v>19500</v>
      </c>
      <c r="K702" s="3">
        <v>370500</v>
      </c>
      <c r="L702" s="3">
        <v>285000</v>
      </c>
      <c r="M702" s="3">
        <v>85500</v>
      </c>
      <c r="N702" s="5">
        <v>0.23076923076923081</v>
      </c>
    </row>
    <row r="703" spans="1:14" x14ac:dyDescent="0.3">
      <c r="A703" t="s">
        <v>889</v>
      </c>
      <c r="B703" s="2">
        <v>45956</v>
      </c>
      <c r="C703" t="s">
        <v>563</v>
      </c>
      <c r="D703" t="s">
        <v>35</v>
      </c>
      <c r="E703" t="s">
        <v>23</v>
      </c>
      <c r="F703" t="s">
        <v>18</v>
      </c>
      <c r="G703" t="s">
        <v>37</v>
      </c>
      <c r="H703">
        <v>16</v>
      </c>
      <c r="I703" s="3">
        <v>400</v>
      </c>
      <c r="J703" s="3">
        <v>650</v>
      </c>
      <c r="K703" s="3">
        <v>10400</v>
      </c>
      <c r="L703" s="3">
        <v>6400</v>
      </c>
      <c r="M703" s="3">
        <v>4000</v>
      </c>
      <c r="N703" s="5">
        <v>0.38461538461538458</v>
      </c>
    </row>
    <row r="704" spans="1:14" x14ac:dyDescent="0.3">
      <c r="A704" t="s">
        <v>890</v>
      </c>
      <c r="B704" s="2">
        <v>45819</v>
      </c>
      <c r="C704" t="s">
        <v>272</v>
      </c>
      <c r="D704" t="s">
        <v>46</v>
      </c>
      <c r="E704" t="s">
        <v>28</v>
      </c>
      <c r="F704" t="s">
        <v>18</v>
      </c>
      <c r="G704" t="s">
        <v>60</v>
      </c>
      <c r="H704">
        <v>6</v>
      </c>
      <c r="I704" s="3">
        <v>1800</v>
      </c>
      <c r="J704" s="3">
        <v>2800</v>
      </c>
      <c r="K704" s="3">
        <v>16800</v>
      </c>
      <c r="L704" s="3">
        <v>10800</v>
      </c>
      <c r="M704" s="3">
        <v>6000</v>
      </c>
      <c r="N704" s="5">
        <v>0.35714285714285721</v>
      </c>
    </row>
    <row r="705" spans="1:14" x14ac:dyDescent="0.3">
      <c r="A705" t="s">
        <v>891</v>
      </c>
      <c r="B705" s="2">
        <v>45966</v>
      </c>
      <c r="C705" t="s">
        <v>294</v>
      </c>
      <c r="D705" t="s">
        <v>46</v>
      </c>
      <c r="E705" t="s">
        <v>55</v>
      </c>
      <c r="F705" t="s">
        <v>24</v>
      </c>
      <c r="G705" t="s">
        <v>29</v>
      </c>
      <c r="H705">
        <v>5</v>
      </c>
      <c r="I705" s="3">
        <v>12000</v>
      </c>
      <c r="J705" s="3">
        <v>16500</v>
      </c>
      <c r="K705" s="3">
        <v>82500</v>
      </c>
      <c r="L705" s="3">
        <v>60000</v>
      </c>
      <c r="M705" s="3">
        <v>22500</v>
      </c>
      <c r="N705" s="5">
        <v>0.27272727272727271</v>
      </c>
    </row>
    <row r="706" spans="1:14" x14ac:dyDescent="0.3">
      <c r="A706" t="s">
        <v>892</v>
      </c>
      <c r="B706" s="2">
        <v>45909</v>
      </c>
      <c r="C706" t="s">
        <v>128</v>
      </c>
      <c r="D706" t="s">
        <v>22</v>
      </c>
      <c r="E706" t="s">
        <v>32</v>
      </c>
      <c r="F706" t="s">
        <v>24</v>
      </c>
      <c r="G706" t="s">
        <v>29</v>
      </c>
      <c r="H706">
        <v>18</v>
      </c>
      <c r="I706" s="3">
        <v>12000</v>
      </c>
      <c r="J706" s="3">
        <v>16500</v>
      </c>
      <c r="K706" s="3">
        <v>297000</v>
      </c>
      <c r="L706" s="3">
        <v>216000</v>
      </c>
      <c r="M706" s="3">
        <v>81000</v>
      </c>
      <c r="N706" s="5">
        <v>0.27272727272727271</v>
      </c>
    </row>
    <row r="707" spans="1:14" x14ac:dyDescent="0.3">
      <c r="A707" t="s">
        <v>893</v>
      </c>
      <c r="B707" s="2">
        <v>45818</v>
      </c>
      <c r="C707" t="s">
        <v>276</v>
      </c>
      <c r="D707" t="s">
        <v>35</v>
      </c>
      <c r="E707" t="s">
        <v>32</v>
      </c>
      <c r="F707" t="s">
        <v>18</v>
      </c>
      <c r="G707" t="s">
        <v>76</v>
      </c>
      <c r="H707">
        <v>7</v>
      </c>
      <c r="I707" s="3">
        <v>2500</v>
      </c>
      <c r="J707" s="3">
        <v>3600</v>
      </c>
      <c r="K707" s="3">
        <v>25200</v>
      </c>
      <c r="L707" s="3">
        <v>17500</v>
      </c>
      <c r="M707" s="3">
        <v>7700</v>
      </c>
      <c r="N707" s="5">
        <v>0.30555555555555558</v>
      </c>
    </row>
    <row r="708" spans="1:14" x14ac:dyDescent="0.3">
      <c r="A708" t="s">
        <v>894</v>
      </c>
      <c r="B708" s="2">
        <v>45753</v>
      </c>
      <c r="C708" t="s">
        <v>371</v>
      </c>
      <c r="D708" t="s">
        <v>22</v>
      </c>
      <c r="E708" t="s">
        <v>36</v>
      </c>
      <c r="F708" t="s">
        <v>24</v>
      </c>
      <c r="G708" t="s">
        <v>29</v>
      </c>
      <c r="H708">
        <v>12</v>
      </c>
      <c r="I708" s="3">
        <v>12000</v>
      </c>
      <c r="J708" s="3">
        <v>16500</v>
      </c>
      <c r="K708" s="3">
        <v>198000</v>
      </c>
      <c r="L708" s="3">
        <v>144000</v>
      </c>
      <c r="M708" s="3">
        <v>54000</v>
      </c>
      <c r="N708" s="5">
        <v>0.27272727272727271</v>
      </c>
    </row>
    <row r="709" spans="1:14" x14ac:dyDescent="0.3">
      <c r="A709" t="s">
        <v>895</v>
      </c>
      <c r="B709" s="2">
        <v>45672</v>
      </c>
      <c r="C709" t="s">
        <v>156</v>
      </c>
      <c r="D709" t="s">
        <v>35</v>
      </c>
      <c r="E709" t="s">
        <v>32</v>
      </c>
      <c r="F709" t="s">
        <v>47</v>
      </c>
      <c r="G709" t="s">
        <v>48</v>
      </c>
      <c r="H709">
        <v>10</v>
      </c>
      <c r="I709" s="3">
        <v>2800</v>
      </c>
      <c r="J709" s="3">
        <v>4200</v>
      </c>
      <c r="K709" s="3">
        <v>42000</v>
      </c>
      <c r="L709" s="3">
        <v>28000</v>
      </c>
      <c r="M709" s="3">
        <v>14000</v>
      </c>
      <c r="N709" s="5">
        <v>0.33333333333333331</v>
      </c>
    </row>
    <row r="710" spans="1:14" x14ac:dyDescent="0.3">
      <c r="A710" t="s">
        <v>896</v>
      </c>
      <c r="B710" s="2">
        <v>45778</v>
      </c>
      <c r="C710" t="s">
        <v>359</v>
      </c>
      <c r="D710" t="s">
        <v>16</v>
      </c>
      <c r="E710" t="s">
        <v>32</v>
      </c>
      <c r="F710" t="s">
        <v>41</v>
      </c>
      <c r="G710" t="s">
        <v>42</v>
      </c>
      <c r="H710">
        <v>1</v>
      </c>
      <c r="I710" s="3">
        <v>8500</v>
      </c>
      <c r="J710" s="3">
        <v>12000</v>
      </c>
      <c r="K710" s="3">
        <v>12000</v>
      </c>
      <c r="L710" s="3">
        <v>8500</v>
      </c>
      <c r="M710" s="3">
        <v>3500</v>
      </c>
      <c r="N710" s="5">
        <v>0.29166666666666669</v>
      </c>
    </row>
    <row r="711" spans="1:14" x14ac:dyDescent="0.3">
      <c r="A711" t="s">
        <v>897</v>
      </c>
      <c r="B711" s="2">
        <v>45912</v>
      </c>
      <c r="C711" t="s">
        <v>300</v>
      </c>
      <c r="D711" t="s">
        <v>35</v>
      </c>
      <c r="E711" t="s">
        <v>36</v>
      </c>
      <c r="F711" t="s">
        <v>18</v>
      </c>
      <c r="G711" t="s">
        <v>76</v>
      </c>
      <c r="H711">
        <v>9</v>
      </c>
      <c r="I711" s="3">
        <v>2500</v>
      </c>
      <c r="J711" s="3">
        <v>3600</v>
      </c>
      <c r="K711" s="3">
        <v>32400</v>
      </c>
      <c r="L711" s="3">
        <v>22500</v>
      </c>
      <c r="M711" s="3">
        <v>9900</v>
      </c>
      <c r="N711" s="5">
        <v>0.30555555555555558</v>
      </c>
    </row>
    <row r="712" spans="1:14" x14ac:dyDescent="0.3">
      <c r="A712" t="s">
        <v>898</v>
      </c>
      <c r="B712" s="2">
        <v>45796</v>
      </c>
      <c r="C712" t="s">
        <v>472</v>
      </c>
      <c r="D712" t="s">
        <v>46</v>
      </c>
      <c r="E712" t="s">
        <v>23</v>
      </c>
      <c r="F712" t="s">
        <v>18</v>
      </c>
      <c r="G712" t="s">
        <v>72</v>
      </c>
      <c r="H712">
        <v>10</v>
      </c>
      <c r="I712" s="3">
        <v>900</v>
      </c>
      <c r="J712" s="3">
        <v>1500</v>
      </c>
      <c r="K712" s="3">
        <v>15000</v>
      </c>
      <c r="L712" s="3">
        <v>9000</v>
      </c>
      <c r="M712" s="3">
        <v>6000</v>
      </c>
      <c r="N712" s="5">
        <v>0.4</v>
      </c>
    </row>
    <row r="713" spans="1:14" x14ac:dyDescent="0.3">
      <c r="A713" t="s">
        <v>899</v>
      </c>
      <c r="B713" s="2">
        <v>45711</v>
      </c>
      <c r="C713" t="s">
        <v>168</v>
      </c>
      <c r="D713" t="s">
        <v>35</v>
      </c>
      <c r="E713" t="s">
        <v>17</v>
      </c>
      <c r="F713" t="s">
        <v>24</v>
      </c>
      <c r="G713" t="s">
        <v>25</v>
      </c>
      <c r="H713">
        <v>2</v>
      </c>
      <c r="I713" s="3">
        <v>15000</v>
      </c>
      <c r="J713" s="3">
        <v>19500</v>
      </c>
      <c r="K713" s="3">
        <v>39000</v>
      </c>
      <c r="L713" s="3">
        <v>30000</v>
      </c>
      <c r="M713" s="3">
        <v>9000</v>
      </c>
      <c r="N713" s="5">
        <v>0.23076923076923081</v>
      </c>
    </row>
    <row r="714" spans="1:14" x14ac:dyDescent="0.3">
      <c r="A714" t="s">
        <v>900</v>
      </c>
      <c r="B714" s="2">
        <v>46017</v>
      </c>
      <c r="C714" t="s">
        <v>303</v>
      </c>
      <c r="D714" t="s">
        <v>35</v>
      </c>
      <c r="E714" t="s">
        <v>17</v>
      </c>
      <c r="F714" t="s">
        <v>18</v>
      </c>
      <c r="G714" t="s">
        <v>19</v>
      </c>
      <c r="H714">
        <v>7</v>
      </c>
      <c r="I714" s="3">
        <v>1800</v>
      </c>
      <c r="J714" s="3">
        <v>2600</v>
      </c>
      <c r="K714" s="3">
        <v>18200</v>
      </c>
      <c r="L714" s="3">
        <v>12600</v>
      </c>
      <c r="M714" s="3">
        <v>5600</v>
      </c>
      <c r="N714" s="5">
        <v>0.30769230769230771</v>
      </c>
    </row>
    <row r="715" spans="1:14" x14ac:dyDescent="0.3">
      <c r="A715" t="s">
        <v>901</v>
      </c>
      <c r="B715" s="2">
        <v>45763</v>
      </c>
      <c r="C715" t="s">
        <v>178</v>
      </c>
      <c r="D715" t="s">
        <v>35</v>
      </c>
      <c r="E715" t="s">
        <v>36</v>
      </c>
      <c r="F715" t="s">
        <v>18</v>
      </c>
      <c r="G715" t="s">
        <v>72</v>
      </c>
      <c r="H715">
        <v>13</v>
      </c>
      <c r="I715" s="3">
        <v>900</v>
      </c>
      <c r="J715" s="3">
        <v>1500</v>
      </c>
      <c r="K715" s="3">
        <v>19500</v>
      </c>
      <c r="L715" s="3">
        <v>11700</v>
      </c>
      <c r="M715" s="3">
        <v>7800</v>
      </c>
      <c r="N715" s="5">
        <v>0.4</v>
      </c>
    </row>
    <row r="716" spans="1:14" x14ac:dyDescent="0.3">
      <c r="A716" t="s">
        <v>902</v>
      </c>
      <c r="B716" s="2">
        <v>46015</v>
      </c>
      <c r="C716" t="s">
        <v>138</v>
      </c>
      <c r="D716" t="s">
        <v>46</v>
      </c>
      <c r="E716" t="s">
        <v>28</v>
      </c>
      <c r="F716" t="s">
        <v>18</v>
      </c>
      <c r="G716" t="s">
        <v>19</v>
      </c>
      <c r="H716">
        <v>12</v>
      </c>
      <c r="I716" s="3">
        <v>1800</v>
      </c>
      <c r="J716" s="3">
        <v>2600</v>
      </c>
      <c r="K716" s="3">
        <v>31200</v>
      </c>
      <c r="L716" s="3">
        <v>21600</v>
      </c>
      <c r="M716" s="3">
        <v>9600</v>
      </c>
      <c r="N716" s="5">
        <v>0.30769230769230771</v>
      </c>
    </row>
    <row r="717" spans="1:14" x14ac:dyDescent="0.3">
      <c r="A717" t="s">
        <v>903</v>
      </c>
      <c r="B717" s="2">
        <v>45969</v>
      </c>
      <c r="C717" t="s">
        <v>95</v>
      </c>
      <c r="D717" t="s">
        <v>40</v>
      </c>
      <c r="E717" t="s">
        <v>55</v>
      </c>
      <c r="F717" t="s">
        <v>47</v>
      </c>
      <c r="G717" t="s">
        <v>48</v>
      </c>
      <c r="H717">
        <v>19</v>
      </c>
      <c r="I717" s="3">
        <v>2800</v>
      </c>
      <c r="J717" s="3">
        <v>4200</v>
      </c>
      <c r="K717" s="3">
        <v>79800</v>
      </c>
      <c r="L717" s="3">
        <v>53200</v>
      </c>
      <c r="M717" s="3">
        <v>26600</v>
      </c>
      <c r="N717" s="5">
        <v>0.33333333333333331</v>
      </c>
    </row>
    <row r="718" spans="1:14" x14ac:dyDescent="0.3">
      <c r="A718" t="s">
        <v>904</v>
      </c>
      <c r="B718" s="2">
        <v>45763</v>
      </c>
      <c r="C718" t="s">
        <v>65</v>
      </c>
      <c r="D718" t="s">
        <v>40</v>
      </c>
      <c r="E718" t="s">
        <v>32</v>
      </c>
      <c r="F718" t="s">
        <v>18</v>
      </c>
      <c r="G718" t="s">
        <v>37</v>
      </c>
      <c r="H718">
        <v>8</v>
      </c>
      <c r="I718" s="3">
        <v>400</v>
      </c>
      <c r="J718" s="3">
        <v>650</v>
      </c>
      <c r="K718" s="3">
        <v>5200</v>
      </c>
      <c r="L718" s="3">
        <v>3200</v>
      </c>
      <c r="M718" s="3">
        <v>2000</v>
      </c>
      <c r="N718" s="5">
        <v>0.38461538461538458</v>
      </c>
    </row>
    <row r="719" spans="1:14" x14ac:dyDescent="0.3">
      <c r="A719" t="s">
        <v>905</v>
      </c>
      <c r="B719" s="2">
        <v>45952</v>
      </c>
      <c r="C719" t="s">
        <v>257</v>
      </c>
      <c r="D719" t="s">
        <v>46</v>
      </c>
      <c r="E719" t="s">
        <v>55</v>
      </c>
      <c r="F719" t="s">
        <v>18</v>
      </c>
      <c r="G719" t="s">
        <v>37</v>
      </c>
      <c r="H719">
        <v>7</v>
      </c>
      <c r="I719" s="3">
        <v>400</v>
      </c>
      <c r="J719" s="3">
        <v>650</v>
      </c>
      <c r="K719" s="3">
        <v>4550</v>
      </c>
      <c r="L719" s="3">
        <v>2800</v>
      </c>
      <c r="M719" s="3">
        <v>1750</v>
      </c>
      <c r="N719" s="5">
        <v>0.38461538461538458</v>
      </c>
    </row>
    <row r="720" spans="1:14" x14ac:dyDescent="0.3">
      <c r="A720" t="s">
        <v>906</v>
      </c>
      <c r="B720" s="2">
        <v>45738</v>
      </c>
      <c r="C720" t="s">
        <v>245</v>
      </c>
      <c r="D720" t="s">
        <v>46</v>
      </c>
      <c r="E720" t="s">
        <v>28</v>
      </c>
      <c r="F720" t="s">
        <v>24</v>
      </c>
      <c r="G720" t="s">
        <v>29</v>
      </c>
      <c r="H720">
        <v>10</v>
      </c>
      <c r="I720" s="3">
        <v>12000</v>
      </c>
      <c r="J720" s="3">
        <v>16500</v>
      </c>
      <c r="K720" s="3">
        <v>165000</v>
      </c>
      <c r="L720" s="3">
        <v>120000</v>
      </c>
      <c r="M720" s="3">
        <v>45000</v>
      </c>
      <c r="N720" s="5">
        <v>0.27272727272727271</v>
      </c>
    </row>
    <row r="721" spans="1:14" x14ac:dyDescent="0.3">
      <c r="A721" t="s">
        <v>907</v>
      </c>
      <c r="B721" s="2">
        <v>45662</v>
      </c>
      <c r="C721" t="s">
        <v>300</v>
      </c>
      <c r="D721" t="s">
        <v>46</v>
      </c>
      <c r="E721" t="s">
        <v>28</v>
      </c>
      <c r="F721" t="s">
        <v>18</v>
      </c>
      <c r="G721" t="s">
        <v>37</v>
      </c>
      <c r="H721">
        <v>15</v>
      </c>
      <c r="I721" s="3">
        <v>400</v>
      </c>
      <c r="J721" s="3">
        <v>650</v>
      </c>
      <c r="K721" s="3">
        <v>9750</v>
      </c>
      <c r="L721" s="3">
        <v>6000</v>
      </c>
      <c r="M721" s="3">
        <v>3750</v>
      </c>
      <c r="N721" s="5">
        <v>0.38461538461538458</v>
      </c>
    </row>
    <row r="722" spans="1:14" x14ac:dyDescent="0.3">
      <c r="A722" t="s">
        <v>908</v>
      </c>
      <c r="B722" s="2">
        <v>45814</v>
      </c>
      <c r="C722" t="s">
        <v>99</v>
      </c>
      <c r="D722" t="s">
        <v>16</v>
      </c>
      <c r="E722" t="s">
        <v>28</v>
      </c>
      <c r="F722" t="s">
        <v>47</v>
      </c>
      <c r="G722" t="s">
        <v>48</v>
      </c>
      <c r="H722">
        <v>18</v>
      </c>
      <c r="I722" s="3">
        <v>2800</v>
      </c>
      <c r="J722" s="3">
        <v>4200</v>
      </c>
      <c r="K722" s="3">
        <v>75600</v>
      </c>
      <c r="L722" s="3">
        <v>50400</v>
      </c>
      <c r="M722" s="3">
        <v>25200</v>
      </c>
      <c r="N722" s="5">
        <v>0.33333333333333331</v>
      </c>
    </row>
    <row r="723" spans="1:14" x14ac:dyDescent="0.3">
      <c r="A723" t="s">
        <v>909</v>
      </c>
      <c r="B723" s="2">
        <v>45816</v>
      </c>
      <c r="C723" t="s">
        <v>259</v>
      </c>
      <c r="D723" t="s">
        <v>35</v>
      </c>
      <c r="E723" t="s">
        <v>17</v>
      </c>
      <c r="F723" t="s">
        <v>18</v>
      </c>
      <c r="G723" t="s">
        <v>72</v>
      </c>
      <c r="H723">
        <v>9</v>
      </c>
      <c r="I723" s="3">
        <v>900</v>
      </c>
      <c r="J723" s="3">
        <v>1500</v>
      </c>
      <c r="K723" s="3">
        <v>13500</v>
      </c>
      <c r="L723" s="3">
        <v>8100</v>
      </c>
      <c r="M723" s="3">
        <v>5400</v>
      </c>
      <c r="N723" s="5">
        <v>0.4</v>
      </c>
    </row>
    <row r="724" spans="1:14" x14ac:dyDescent="0.3">
      <c r="A724" t="s">
        <v>910</v>
      </c>
      <c r="B724" s="2">
        <v>45687</v>
      </c>
      <c r="C724" t="s">
        <v>161</v>
      </c>
      <c r="D724" t="s">
        <v>40</v>
      </c>
      <c r="E724" t="s">
        <v>36</v>
      </c>
      <c r="F724" t="s">
        <v>18</v>
      </c>
      <c r="G724" t="s">
        <v>76</v>
      </c>
      <c r="H724">
        <v>8</v>
      </c>
      <c r="I724" s="3">
        <v>2500</v>
      </c>
      <c r="J724" s="3">
        <v>3600</v>
      </c>
      <c r="K724" s="3">
        <v>28800</v>
      </c>
      <c r="L724" s="3">
        <v>20000</v>
      </c>
      <c r="M724" s="3">
        <v>8800</v>
      </c>
      <c r="N724" s="5">
        <v>0.30555555555555558</v>
      </c>
    </row>
    <row r="725" spans="1:14" x14ac:dyDescent="0.3">
      <c r="A725" t="s">
        <v>911</v>
      </c>
      <c r="B725" s="2">
        <v>45807</v>
      </c>
      <c r="C725" t="s">
        <v>197</v>
      </c>
      <c r="D725" t="s">
        <v>22</v>
      </c>
      <c r="E725" t="s">
        <v>32</v>
      </c>
      <c r="F725" t="s">
        <v>24</v>
      </c>
      <c r="G725" t="s">
        <v>25</v>
      </c>
      <c r="H725">
        <v>11</v>
      </c>
      <c r="I725" s="3">
        <v>15000</v>
      </c>
      <c r="J725" s="3">
        <v>19500</v>
      </c>
      <c r="K725" s="3">
        <v>214500</v>
      </c>
      <c r="L725" s="3">
        <v>165000</v>
      </c>
      <c r="M725" s="3">
        <v>49500</v>
      </c>
      <c r="N725" s="5">
        <v>0.23076923076923081</v>
      </c>
    </row>
    <row r="726" spans="1:14" x14ac:dyDescent="0.3">
      <c r="A726" t="s">
        <v>912</v>
      </c>
      <c r="B726" s="2">
        <v>45890</v>
      </c>
      <c r="C726" t="s">
        <v>114</v>
      </c>
      <c r="D726" t="s">
        <v>22</v>
      </c>
      <c r="E726" t="s">
        <v>32</v>
      </c>
      <c r="F726" t="s">
        <v>47</v>
      </c>
      <c r="G726" t="s">
        <v>48</v>
      </c>
      <c r="H726">
        <v>1</v>
      </c>
      <c r="I726" s="3">
        <v>2800</v>
      </c>
      <c r="J726" s="3">
        <v>4200</v>
      </c>
      <c r="K726" s="3">
        <v>4200</v>
      </c>
      <c r="L726" s="3">
        <v>2800</v>
      </c>
      <c r="M726" s="3">
        <v>1400</v>
      </c>
      <c r="N726" s="5">
        <v>0.33333333333333331</v>
      </c>
    </row>
    <row r="727" spans="1:14" x14ac:dyDescent="0.3">
      <c r="A727" t="s">
        <v>913</v>
      </c>
      <c r="B727" s="2">
        <v>45897</v>
      </c>
      <c r="C727" t="s">
        <v>223</v>
      </c>
      <c r="D727" t="s">
        <v>35</v>
      </c>
      <c r="E727" t="s">
        <v>28</v>
      </c>
      <c r="F727" t="s">
        <v>18</v>
      </c>
      <c r="G727" t="s">
        <v>76</v>
      </c>
      <c r="H727">
        <v>1</v>
      </c>
      <c r="I727" s="3">
        <v>2500</v>
      </c>
      <c r="J727" s="3">
        <v>3600</v>
      </c>
      <c r="K727" s="3">
        <v>3600</v>
      </c>
      <c r="L727" s="3">
        <v>2500</v>
      </c>
      <c r="M727" s="3">
        <v>1100</v>
      </c>
      <c r="N727" s="5">
        <v>0.30555555555555558</v>
      </c>
    </row>
    <row r="728" spans="1:14" x14ac:dyDescent="0.3">
      <c r="A728" t="s">
        <v>914</v>
      </c>
      <c r="B728" s="2">
        <v>45875</v>
      </c>
      <c r="C728" t="s">
        <v>104</v>
      </c>
      <c r="D728" t="s">
        <v>46</v>
      </c>
      <c r="E728" t="s">
        <v>23</v>
      </c>
      <c r="F728" t="s">
        <v>24</v>
      </c>
      <c r="G728" t="s">
        <v>29</v>
      </c>
      <c r="H728">
        <v>4</v>
      </c>
      <c r="I728" s="3">
        <v>12000</v>
      </c>
      <c r="J728" s="3">
        <v>16500</v>
      </c>
      <c r="K728" s="3">
        <v>66000</v>
      </c>
      <c r="L728" s="3">
        <v>48000</v>
      </c>
      <c r="M728" s="3">
        <v>18000</v>
      </c>
      <c r="N728" s="5">
        <v>0.27272727272727271</v>
      </c>
    </row>
    <row r="729" spans="1:14" x14ac:dyDescent="0.3">
      <c r="A729" t="s">
        <v>915</v>
      </c>
      <c r="B729" s="2">
        <v>45820</v>
      </c>
      <c r="C729" t="s">
        <v>388</v>
      </c>
      <c r="D729" t="s">
        <v>35</v>
      </c>
      <c r="E729" t="s">
        <v>55</v>
      </c>
      <c r="F729" t="s">
        <v>18</v>
      </c>
      <c r="G729" t="s">
        <v>19</v>
      </c>
      <c r="H729">
        <v>16</v>
      </c>
      <c r="I729" s="3">
        <v>1800</v>
      </c>
      <c r="J729" s="3">
        <v>2600</v>
      </c>
      <c r="K729" s="3">
        <v>41600</v>
      </c>
      <c r="L729" s="3">
        <v>28800</v>
      </c>
      <c r="M729" s="3">
        <v>12800</v>
      </c>
      <c r="N729" s="5">
        <v>0.30769230769230771</v>
      </c>
    </row>
    <row r="730" spans="1:14" x14ac:dyDescent="0.3">
      <c r="A730" t="s">
        <v>916</v>
      </c>
      <c r="B730" s="2">
        <v>45925</v>
      </c>
      <c r="C730" t="s">
        <v>599</v>
      </c>
      <c r="D730" t="s">
        <v>46</v>
      </c>
      <c r="E730" t="s">
        <v>28</v>
      </c>
      <c r="F730" t="s">
        <v>41</v>
      </c>
      <c r="G730" t="s">
        <v>42</v>
      </c>
      <c r="H730">
        <v>3</v>
      </c>
      <c r="I730" s="3">
        <v>8500</v>
      </c>
      <c r="J730" s="3">
        <v>12000</v>
      </c>
      <c r="K730" s="3">
        <v>36000</v>
      </c>
      <c r="L730" s="3">
        <v>25500</v>
      </c>
      <c r="M730" s="3">
        <v>10500</v>
      </c>
      <c r="N730" s="5">
        <v>0.29166666666666669</v>
      </c>
    </row>
    <row r="731" spans="1:14" x14ac:dyDescent="0.3">
      <c r="A731" t="s">
        <v>917</v>
      </c>
      <c r="B731" s="2">
        <v>45693</v>
      </c>
      <c r="C731" t="s">
        <v>918</v>
      </c>
      <c r="D731" t="s">
        <v>35</v>
      </c>
      <c r="E731" t="s">
        <v>32</v>
      </c>
      <c r="F731" t="s">
        <v>18</v>
      </c>
      <c r="G731" t="s">
        <v>76</v>
      </c>
      <c r="H731">
        <v>2</v>
      </c>
      <c r="I731" s="3">
        <v>2500</v>
      </c>
      <c r="J731" s="3">
        <v>3600</v>
      </c>
      <c r="K731" s="3">
        <v>7200</v>
      </c>
      <c r="L731" s="3">
        <v>5000</v>
      </c>
      <c r="M731" s="3">
        <v>2200</v>
      </c>
      <c r="N731" s="5">
        <v>0.30555555555555558</v>
      </c>
    </row>
    <row r="732" spans="1:14" x14ac:dyDescent="0.3">
      <c r="A732" t="s">
        <v>919</v>
      </c>
      <c r="B732" s="2">
        <v>45684</v>
      </c>
      <c r="C732" t="s">
        <v>206</v>
      </c>
      <c r="D732" t="s">
        <v>16</v>
      </c>
      <c r="E732" t="s">
        <v>28</v>
      </c>
      <c r="F732" t="s">
        <v>18</v>
      </c>
      <c r="G732" t="s">
        <v>19</v>
      </c>
      <c r="H732">
        <v>12</v>
      </c>
      <c r="I732" s="3">
        <v>1800</v>
      </c>
      <c r="J732" s="3">
        <v>2600</v>
      </c>
      <c r="K732" s="3">
        <v>31200</v>
      </c>
      <c r="L732" s="3">
        <v>21600</v>
      </c>
      <c r="M732" s="3">
        <v>9600</v>
      </c>
      <c r="N732" s="5">
        <v>0.30769230769230771</v>
      </c>
    </row>
    <row r="733" spans="1:14" x14ac:dyDescent="0.3">
      <c r="A733" t="s">
        <v>920</v>
      </c>
      <c r="B733" s="2">
        <v>45806</v>
      </c>
      <c r="C733" t="s">
        <v>461</v>
      </c>
      <c r="D733" t="s">
        <v>40</v>
      </c>
      <c r="E733" t="s">
        <v>28</v>
      </c>
      <c r="F733" t="s">
        <v>24</v>
      </c>
      <c r="G733" t="s">
        <v>29</v>
      </c>
      <c r="H733">
        <v>20</v>
      </c>
      <c r="I733" s="3">
        <v>12000</v>
      </c>
      <c r="J733" s="3">
        <v>16500</v>
      </c>
      <c r="K733" s="3">
        <v>330000</v>
      </c>
      <c r="L733" s="3">
        <v>240000</v>
      </c>
      <c r="M733" s="3">
        <v>90000</v>
      </c>
      <c r="N733" s="5">
        <v>0.27272727272727271</v>
      </c>
    </row>
    <row r="734" spans="1:14" x14ac:dyDescent="0.3">
      <c r="A734" t="s">
        <v>921</v>
      </c>
      <c r="B734" s="2">
        <v>45659</v>
      </c>
      <c r="C734" t="s">
        <v>210</v>
      </c>
      <c r="D734" t="s">
        <v>35</v>
      </c>
      <c r="E734" t="s">
        <v>23</v>
      </c>
      <c r="F734" t="s">
        <v>18</v>
      </c>
      <c r="G734" t="s">
        <v>72</v>
      </c>
      <c r="H734">
        <v>12</v>
      </c>
      <c r="I734" s="3">
        <v>900</v>
      </c>
      <c r="J734" s="3">
        <v>1500</v>
      </c>
      <c r="K734" s="3">
        <v>18000</v>
      </c>
      <c r="L734" s="3">
        <v>10800</v>
      </c>
      <c r="M734" s="3">
        <v>7200</v>
      </c>
      <c r="N734" s="5">
        <v>0.4</v>
      </c>
    </row>
    <row r="735" spans="1:14" x14ac:dyDescent="0.3">
      <c r="A735" t="s">
        <v>922</v>
      </c>
      <c r="B735" s="2">
        <v>45700</v>
      </c>
      <c r="C735" t="s">
        <v>114</v>
      </c>
      <c r="D735" t="s">
        <v>35</v>
      </c>
      <c r="E735" t="s">
        <v>32</v>
      </c>
      <c r="F735" t="s">
        <v>24</v>
      </c>
      <c r="G735" t="s">
        <v>63</v>
      </c>
      <c r="H735">
        <v>3</v>
      </c>
      <c r="I735" s="3">
        <v>42000</v>
      </c>
      <c r="J735" s="3">
        <v>55000</v>
      </c>
      <c r="K735" s="3">
        <v>165000</v>
      </c>
      <c r="L735" s="3">
        <v>126000</v>
      </c>
      <c r="M735" s="3">
        <v>39000</v>
      </c>
      <c r="N735" s="5">
        <v>0.23636363636363639</v>
      </c>
    </row>
    <row r="736" spans="1:14" x14ac:dyDescent="0.3">
      <c r="A736" t="s">
        <v>923</v>
      </c>
      <c r="B736" s="2">
        <v>45759</v>
      </c>
      <c r="C736" t="s">
        <v>472</v>
      </c>
      <c r="D736" t="s">
        <v>16</v>
      </c>
      <c r="E736" t="s">
        <v>32</v>
      </c>
      <c r="F736" t="s">
        <v>18</v>
      </c>
      <c r="G736" t="s">
        <v>19</v>
      </c>
      <c r="H736">
        <v>19</v>
      </c>
      <c r="I736" s="3">
        <v>1800</v>
      </c>
      <c r="J736" s="3">
        <v>2600</v>
      </c>
      <c r="K736" s="3">
        <v>49400</v>
      </c>
      <c r="L736" s="3">
        <v>34200</v>
      </c>
      <c r="M736" s="3">
        <v>15200</v>
      </c>
      <c r="N736" s="5">
        <v>0.30769230769230771</v>
      </c>
    </row>
    <row r="737" spans="1:14" x14ac:dyDescent="0.3">
      <c r="A737" t="s">
        <v>924</v>
      </c>
      <c r="B737" s="2">
        <v>45996</v>
      </c>
      <c r="C737" t="s">
        <v>369</v>
      </c>
      <c r="D737" t="s">
        <v>40</v>
      </c>
      <c r="E737" t="s">
        <v>17</v>
      </c>
      <c r="F737" t="s">
        <v>41</v>
      </c>
      <c r="G737" t="s">
        <v>42</v>
      </c>
      <c r="H737">
        <v>14</v>
      </c>
      <c r="I737" s="3">
        <v>8500</v>
      </c>
      <c r="J737" s="3">
        <v>12000</v>
      </c>
      <c r="K737" s="3">
        <v>168000</v>
      </c>
      <c r="L737" s="3">
        <v>119000</v>
      </c>
      <c r="M737" s="3">
        <v>49000</v>
      </c>
      <c r="N737" s="5">
        <v>0.29166666666666669</v>
      </c>
    </row>
    <row r="738" spans="1:14" x14ac:dyDescent="0.3">
      <c r="A738" t="s">
        <v>925</v>
      </c>
      <c r="B738" s="2">
        <v>45761</v>
      </c>
      <c r="C738" t="s">
        <v>374</v>
      </c>
      <c r="D738" t="s">
        <v>22</v>
      </c>
      <c r="E738" t="s">
        <v>23</v>
      </c>
      <c r="F738" t="s">
        <v>24</v>
      </c>
      <c r="G738" t="s">
        <v>29</v>
      </c>
      <c r="H738">
        <v>8</v>
      </c>
      <c r="I738" s="3">
        <v>12000</v>
      </c>
      <c r="J738" s="3">
        <v>16500</v>
      </c>
      <c r="K738" s="3">
        <v>132000</v>
      </c>
      <c r="L738" s="3">
        <v>96000</v>
      </c>
      <c r="M738" s="3">
        <v>36000</v>
      </c>
      <c r="N738" s="5">
        <v>0.27272727272727271</v>
      </c>
    </row>
    <row r="739" spans="1:14" x14ac:dyDescent="0.3">
      <c r="A739" t="s">
        <v>926</v>
      </c>
      <c r="B739" s="2">
        <v>45837</v>
      </c>
      <c r="C739" t="s">
        <v>121</v>
      </c>
      <c r="D739" t="s">
        <v>40</v>
      </c>
      <c r="E739" t="s">
        <v>32</v>
      </c>
      <c r="F739" t="s">
        <v>18</v>
      </c>
      <c r="G739" t="s">
        <v>76</v>
      </c>
      <c r="H739">
        <v>7</v>
      </c>
      <c r="I739" s="3">
        <v>2500</v>
      </c>
      <c r="J739" s="3">
        <v>3600</v>
      </c>
      <c r="K739" s="3">
        <v>25200</v>
      </c>
      <c r="L739" s="3">
        <v>17500</v>
      </c>
      <c r="M739" s="3">
        <v>7700</v>
      </c>
      <c r="N739" s="5">
        <v>0.30555555555555558</v>
      </c>
    </row>
    <row r="740" spans="1:14" x14ac:dyDescent="0.3">
      <c r="A740" t="s">
        <v>927</v>
      </c>
      <c r="B740" s="2">
        <v>45740</v>
      </c>
      <c r="C740" t="s">
        <v>57</v>
      </c>
      <c r="D740" t="s">
        <v>16</v>
      </c>
      <c r="E740" t="s">
        <v>23</v>
      </c>
      <c r="F740" t="s">
        <v>24</v>
      </c>
      <c r="G740" t="s">
        <v>63</v>
      </c>
      <c r="H740">
        <v>10</v>
      </c>
      <c r="I740" s="3">
        <v>42000</v>
      </c>
      <c r="J740" s="3">
        <v>55000</v>
      </c>
      <c r="K740" s="3">
        <v>550000</v>
      </c>
      <c r="L740" s="3">
        <v>420000</v>
      </c>
      <c r="M740" s="3">
        <v>130000</v>
      </c>
      <c r="N740" s="5">
        <v>0.23636363636363639</v>
      </c>
    </row>
    <row r="741" spans="1:14" x14ac:dyDescent="0.3">
      <c r="A741" t="s">
        <v>928</v>
      </c>
      <c r="B741" s="2">
        <v>45707</v>
      </c>
      <c r="C741" t="s">
        <v>374</v>
      </c>
      <c r="D741" t="s">
        <v>22</v>
      </c>
      <c r="E741" t="s">
        <v>17</v>
      </c>
      <c r="F741" t="s">
        <v>41</v>
      </c>
      <c r="G741" t="s">
        <v>42</v>
      </c>
      <c r="H741">
        <v>4</v>
      </c>
      <c r="I741" s="3">
        <v>8500</v>
      </c>
      <c r="J741" s="3">
        <v>12000</v>
      </c>
      <c r="K741" s="3">
        <v>48000</v>
      </c>
      <c r="L741" s="3">
        <v>34000</v>
      </c>
      <c r="M741" s="3">
        <v>14000</v>
      </c>
      <c r="N741" s="5">
        <v>0.29166666666666669</v>
      </c>
    </row>
    <row r="742" spans="1:14" x14ac:dyDescent="0.3">
      <c r="A742" t="s">
        <v>929</v>
      </c>
      <c r="B742" s="2">
        <v>45895</v>
      </c>
      <c r="C742" t="s">
        <v>34</v>
      </c>
      <c r="D742" t="s">
        <v>16</v>
      </c>
      <c r="E742" t="s">
        <v>55</v>
      </c>
      <c r="F742" t="s">
        <v>24</v>
      </c>
      <c r="G742" t="s">
        <v>63</v>
      </c>
      <c r="H742">
        <v>9</v>
      </c>
      <c r="I742" s="3">
        <v>42000</v>
      </c>
      <c r="J742" s="3">
        <v>55000</v>
      </c>
      <c r="K742" s="3">
        <v>495000</v>
      </c>
      <c r="L742" s="3">
        <v>378000</v>
      </c>
      <c r="M742" s="3">
        <v>117000</v>
      </c>
      <c r="N742" s="5">
        <v>0.23636363636363639</v>
      </c>
    </row>
    <row r="743" spans="1:14" x14ac:dyDescent="0.3">
      <c r="A743" t="s">
        <v>930</v>
      </c>
      <c r="B743" s="2">
        <v>45833</v>
      </c>
      <c r="C743" t="s">
        <v>116</v>
      </c>
      <c r="D743" t="s">
        <v>40</v>
      </c>
      <c r="E743" t="s">
        <v>36</v>
      </c>
      <c r="F743" t="s">
        <v>18</v>
      </c>
      <c r="G743" t="s">
        <v>72</v>
      </c>
      <c r="H743">
        <v>13</v>
      </c>
      <c r="I743" s="3">
        <v>900</v>
      </c>
      <c r="J743" s="3">
        <v>1500</v>
      </c>
      <c r="K743" s="3">
        <v>19500</v>
      </c>
      <c r="L743" s="3">
        <v>11700</v>
      </c>
      <c r="M743" s="3">
        <v>7800</v>
      </c>
      <c r="N743" s="5">
        <v>0.4</v>
      </c>
    </row>
    <row r="744" spans="1:14" x14ac:dyDescent="0.3">
      <c r="A744" t="s">
        <v>931</v>
      </c>
      <c r="B744" s="2">
        <v>45970</v>
      </c>
      <c r="C744" t="s">
        <v>200</v>
      </c>
      <c r="D744" t="s">
        <v>22</v>
      </c>
      <c r="E744" t="s">
        <v>28</v>
      </c>
      <c r="F744" t="s">
        <v>18</v>
      </c>
      <c r="G744" t="s">
        <v>76</v>
      </c>
      <c r="H744">
        <v>12</v>
      </c>
      <c r="I744" s="3">
        <v>2500</v>
      </c>
      <c r="J744" s="3">
        <v>3600</v>
      </c>
      <c r="K744" s="3">
        <v>43200</v>
      </c>
      <c r="L744" s="3">
        <v>30000</v>
      </c>
      <c r="M744" s="3">
        <v>13200</v>
      </c>
      <c r="N744" s="5">
        <v>0.30555555555555558</v>
      </c>
    </row>
    <row r="745" spans="1:14" x14ac:dyDescent="0.3">
      <c r="A745" t="s">
        <v>932</v>
      </c>
      <c r="B745" s="2">
        <v>45922</v>
      </c>
      <c r="C745" t="s">
        <v>87</v>
      </c>
      <c r="D745" t="s">
        <v>35</v>
      </c>
      <c r="E745" t="s">
        <v>36</v>
      </c>
      <c r="F745" t="s">
        <v>41</v>
      </c>
      <c r="G745" t="s">
        <v>42</v>
      </c>
      <c r="H745">
        <v>11</v>
      </c>
      <c r="I745" s="3">
        <v>8500</v>
      </c>
      <c r="J745" s="3">
        <v>12000</v>
      </c>
      <c r="K745" s="3">
        <v>132000</v>
      </c>
      <c r="L745" s="3">
        <v>93500</v>
      </c>
      <c r="M745" s="3">
        <v>38500</v>
      </c>
      <c r="N745" s="5">
        <v>0.29166666666666669</v>
      </c>
    </row>
    <row r="746" spans="1:14" x14ac:dyDescent="0.3">
      <c r="A746" t="s">
        <v>933</v>
      </c>
      <c r="B746" s="2">
        <v>45844</v>
      </c>
      <c r="C746" t="s">
        <v>545</v>
      </c>
      <c r="D746" t="s">
        <v>46</v>
      </c>
      <c r="E746" t="s">
        <v>32</v>
      </c>
      <c r="F746" t="s">
        <v>47</v>
      </c>
      <c r="G746" t="s">
        <v>48</v>
      </c>
      <c r="H746">
        <v>15</v>
      </c>
      <c r="I746" s="3">
        <v>2800</v>
      </c>
      <c r="J746" s="3">
        <v>4200</v>
      </c>
      <c r="K746" s="3">
        <v>63000</v>
      </c>
      <c r="L746" s="3">
        <v>42000</v>
      </c>
      <c r="M746" s="3">
        <v>21000</v>
      </c>
      <c r="N746" s="5">
        <v>0.33333333333333331</v>
      </c>
    </row>
    <row r="747" spans="1:14" x14ac:dyDescent="0.3">
      <c r="A747" t="s">
        <v>934</v>
      </c>
      <c r="B747" s="2">
        <v>45850</v>
      </c>
      <c r="C747" t="s">
        <v>364</v>
      </c>
      <c r="D747" t="s">
        <v>46</v>
      </c>
      <c r="E747" t="s">
        <v>23</v>
      </c>
      <c r="F747" t="s">
        <v>41</v>
      </c>
      <c r="G747" t="s">
        <v>42</v>
      </c>
      <c r="H747">
        <v>16</v>
      </c>
      <c r="I747" s="3">
        <v>8500</v>
      </c>
      <c r="J747" s="3">
        <v>12000</v>
      </c>
      <c r="K747" s="3">
        <v>192000</v>
      </c>
      <c r="L747" s="3">
        <v>136000</v>
      </c>
      <c r="M747" s="3">
        <v>56000</v>
      </c>
      <c r="N747" s="5">
        <v>0.29166666666666669</v>
      </c>
    </row>
    <row r="748" spans="1:14" x14ac:dyDescent="0.3">
      <c r="A748" t="s">
        <v>935</v>
      </c>
      <c r="B748" s="2">
        <v>45964</v>
      </c>
      <c r="C748" t="s">
        <v>97</v>
      </c>
      <c r="D748" t="s">
        <v>46</v>
      </c>
      <c r="E748" t="s">
        <v>36</v>
      </c>
      <c r="F748" t="s">
        <v>24</v>
      </c>
      <c r="G748" t="s">
        <v>63</v>
      </c>
      <c r="H748">
        <v>17</v>
      </c>
      <c r="I748" s="3">
        <v>42000</v>
      </c>
      <c r="J748" s="3">
        <v>55000</v>
      </c>
      <c r="K748" s="3">
        <v>935000</v>
      </c>
      <c r="L748" s="3">
        <v>714000</v>
      </c>
      <c r="M748" s="3">
        <v>221000</v>
      </c>
      <c r="N748" s="5">
        <v>0.23636363636363639</v>
      </c>
    </row>
    <row r="749" spans="1:14" x14ac:dyDescent="0.3">
      <c r="A749" t="s">
        <v>936</v>
      </c>
      <c r="B749" s="2">
        <v>45689</v>
      </c>
      <c r="C749" t="s">
        <v>346</v>
      </c>
      <c r="D749" t="s">
        <v>35</v>
      </c>
      <c r="E749" t="s">
        <v>55</v>
      </c>
      <c r="F749" t="s">
        <v>47</v>
      </c>
      <c r="G749" t="s">
        <v>48</v>
      </c>
      <c r="H749">
        <v>1</v>
      </c>
      <c r="I749" s="3">
        <v>2800</v>
      </c>
      <c r="J749" s="3">
        <v>4200</v>
      </c>
      <c r="K749" s="3">
        <v>4200</v>
      </c>
      <c r="L749" s="3">
        <v>2800</v>
      </c>
      <c r="M749" s="3">
        <v>1400</v>
      </c>
      <c r="N749" s="5">
        <v>0.33333333333333331</v>
      </c>
    </row>
    <row r="750" spans="1:14" x14ac:dyDescent="0.3">
      <c r="A750" t="s">
        <v>937</v>
      </c>
      <c r="B750" s="2">
        <v>45788</v>
      </c>
      <c r="C750" t="s">
        <v>435</v>
      </c>
      <c r="D750" t="s">
        <v>35</v>
      </c>
      <c r="E750" t="s">
        <v>36</v>
      </c>
      <c r="F750" t="s">
        <v>24</v>
      </c>
      <c r="G750" t="s">
        <v>29</v>
      </c>
      <c r="H750">
        <v>10</v>
      </c>
      <c r="I750" s="3">
        <v>12000</v>
      </c>
      <c r="J750" s="3">
        <v>16500</v>
      </c>
      <c r="K750" s="3">
        <v>165000</v>
      </c>
      <c r="L750" s="3">
        <v>120000</v>
      </c>
      <c r="M750" s="3">
        <v>45000</v>
      </c>
      <c r="N750" s="5">
        <v>0.27272727272727271</v>
      </c>
    </row>
    <row r="751" spans="1:14" x14ac:dyDescent="0.3">
      <c r="A751" t="s">
        <v>938</v>
      </c>
      <c r="B751" s="2">
        <v>45970</v>
      </c>
      <c r="C751" t="s">
        <v>178</v>
      </c>
      <c r="D751" t="s">
        <v>46</v>
      </c>
      <c r="E751" t="s">
        <v>55</v>
      </c>
      <c r="F751" t="s">
        <v>18</v>
      </c>
      <c r="G751" t="s">
        <v>72</v>
      </c>
      <c r="H751">
        <v>11</v>
      </c>
      <c r="I751" s="3">
        <v>900</v>
      </c>
      <c r="J751" s="3">
        <v>1500</v>
      </c>
      <c r="K751" s="3">
        <v>16500</v>
      </c>
      <c r="L751" s="3">
        <v>9900</v>
      </c>
      <c r="M751" s="3">
        <v>6600</v>
      </c>
      <c r="N751" s="5">
        <v>0.4</v>
      </c>
    </row>
    <row r="752" spans="1:14" x14ac:dyDescent="0.3">
      <c r="A752" t="s">
        <v>939</v>
      </c>
      <c r="B752" s="2">
        <v>45804</v>
      </c>
      <c r="C752" t="s">
        <v>133</v>
      </c>
      <c r="D752" t="s">
        <v>46</v>
      </c>
      <c r="E752" t="s">
        <v>23</v>
      </c>
      <c r="F752" t="s">
        <v>18</v>
      </c>
      <c r="G752" t="s">
        <v>19</v>
      </c>
      <c r="H752">
        <v>19</v>
      </c>
      <c r="I752" s="3">
        <v>1800</v>
      </c>
      <c r="J752" s="3">
        <v>2600</v>
      </c>
      <c r="K752" s="3">
        <v>49400</v>
      </c>
      <c r="L752" s="3">
        <v>34200</v>
      </c>
      <c r="M752" s="3">
        <v>15200</v>
      </c>
      <c r="N752" s="5">
        <v>0.30769230769230771</v>
      </c>
    </row>
    <row r="753" spans="1:14" x14ac:dyDescent="0.3">
      <c r="A753" t="s">
        <v>940</v>
      </c>
      <c r="B753" s="2">
        <v>45940</v>
      </c>
      <c r="C753" t="s">
        <v>140</v>
      </c>
      <c r="D753" t="s">
        <v>16</v>
      </c>
      <c r="E753" t="s">
        <v>17</v>
      </c>
      <c r="F753" t="s">
        <v>18</v>
      </c>
      <c r="G753" t="s">
        <v>60</v>
      </c>
      <c r="H753">
        <v>18</v>
      </c>
      <c r="I753" s="3">
        <v>1800</v>
      </c>
      <c r="J753" s="3">
        <v>2800</v>
      </c>
      <c r="K753" s="3">
        <v>50400</v>
      </c>
      <c r="L753" s="3">
        <v>32400</v>
      </c>
      <c r="M753" s="3">
        <v>18000</v>
      </c>
      <c r="N753" s="5">
        <v>0.35714285714285721</v>
      </c>
    </row>
    <row r="754" spans="1:14" x14ac:dyDescent="0.3">
      <c r="A754" t="s">
        <v>941</v>
      </c>
      <c r="B754" s="2">
        <v>45984</v>
      </c>
      <c r="C754" t="s">
        <v>470</v>
      </c>
      <c r="D754" t="s">
        <v>16</v>
      </c>
      <c r="E754" t="s">
        <v>36</v>
      </c>
      <c r="F754" t="s">
        <v>24</v>
      </c>
      <c r="G754" t="s">
        <v>29</v>
      </c>
      <c r="H754">
        <v>11</v>
      </c>
      <c r="I754" s="3">
        <v>12000</v>
      </c>
      <c r="J754" s="3">
        <v>16500</v>
      </c>
      <c r="K754" s="3">
        <v>181500</v>
      </c>
      <c r="L754" s="3">
        <v>132000</v>
      </c>
      <c r="M754" s="3">
        <v>49500</v>
      </c>
      <c r="N754" s="5">
        <v>0.27272727272727271</v>
      </c>
    </row>
    <row r="755" spans="1:14" x14ac:dyDescent="0.3">
      <c r="A755" t="s">
        <v>942</v>
      </c>
      <c r="B755" s="2">
        <v>45769</v>
      </c>
      <c r="C755" t="s">
        <v>385</v>
      </c>
      <c r="D755" t="s">
        <v>40</v>
      </c>
      <c r="E755" t="s">
        <v>23</v>
      </c>
      <c r="F755" t="s">
        <v>41</v>
      </c>
      <c r="G755" t="s">
        <v>42</v>
      </c>
      <c r="H755">
        <v>20</v>
      </c>
      <c r="I755" s="3">
        <v>8500</v>
      </c>
      <c r="J755" s="3">
        <v>12000</v>
      </c>
      <c r="K755" s="3">
        <v>240000</v>
      </c>
      <c r="L755" s="3">
        <v>170000</v>
      </c>
      <c r="M755" s="3">
        <v>70000</v>
      </c>
      <c r="N755" s="5">
        <v>0.29166666666666669</v>
      </c>
    </row>
    <row r="756" spans="1:14" x14ac:dyDescent="0.3">
      <c r="A756" t="s">
        <v>943</v>
      </c>
      <c r="B756" s="2">
        <v>45967</v>
      </c>
      <c r="C756" t="s">
        <v>346</v>
      </c>
      <c r="D756" t="s">
        <v>22</v>
      </c>
      <c r="E756" t="s">
        <v>55</v>
      </c>
      <c r="F756" t="s">
        <v>24</v>
      </c>
      <c r="G756" t="s">
        <v>63</v>
      </c>
      <c r="H756">
        <v>13</v>
      </c>
      <c r="I756" s="3">
        <v>42000</v>
      </c>
      <c r="J756" s="3">
        <v>55000</v>
      </c>
      <c r="K756" s="3">
        <v>715000</v>
      </c>
      <c r="L756" s="3">
        <v>546000</v>
      </c>
      <c r="M756" s="3">
        <v>169000</v>
      </c>
      <c r="N756" s="5">
        <v>0.23636363636363639</v>
      </c>
    </row>
    <row r="757" spans="1:14" x14ac:dyDescent="0.3">
      <c r="A757" t="s">
        <v>944</v>
      </c>
      <c r="B757" s="2">
        <v>45885</v>
      </c>
      <c r="C757" t="s">
        <v>369</v>
      </c>
      <c r="D757" t="s">
        <v>22</v>
      </c>
      <c r="E757" t="s">
        <v>55</v>
      </c>
      <c r="F757" t="s">
        <v>41</v>
      </c>
      <c r="G757" t="s">
        <v>42</v>
      </c>
      <c r="H757">
        <v>14</v>
      </c>
      <c r="I757" s="3">
        <v>8500</v>
      </c>
      <c r="J757" s="3">
        <v>12000</v>
      </c>
      <c r="K757" s="3">
        <v>168000</v>
      </c>
      <c r="L757" s="3">
        <v>119000</v>
      </c>
      <c r="M757" s="3">
        <v>49000</v>
      </c>
      <c r="N757" s="5">
        <v>0.29166666666666669</v>
      </c>
    </row>
    <row r="758" spans="1:14" x14ac:dyDescent="0.3">
      <c r="A758" t="s">
        <v>945</v>
      </c>
      <c r="B758" s="2">
        <v>45739</v>
      </c>
      <c r="C758" t="s">
        <v>346</v>
      </c>
      <c r="D758" t="s">
        <v>16</v>
      </c>
      <c r="E758" t="s">
        <v>23</v>
      </c>
      <c r="F758" t="s">
        <v>18</v>
      </c>
      <c r="G758" t="s">
        <v>76</v>
      </c>
      <c r="H758">
        <v>11</v>
      </c>
      <c r="I758" s="3">
        <v>2500</v>
      </c>
      <c r="J758" s="3">
        <v>3600</v>
      </c>
      <c r="K758" s="3">
        <v>39600</v>
      </c>
      <c r="L758" s="3">
        <v>27500</v>
      </c>
      <c r="M758" s="3">
        <v>12100</v>
      </c>
      <c r="N758" s="5">
        <v>0.30555555555555558</v>
      </c>
    </row>
    <row r="759" spans="1:14" x14ac:dyDescent="0.3">
      <c r="A759" t="s">
        <v>946</v>
      </c>
      <c r="B759" s="2">
        <v>46019</v>
      </c>
      <c r="C759" t="s">
        <v>229</v>
      </c>
      <c r="D759" t="s">
        <v>22</v>
      </c>
      <c r="E759" t="s">
        <v>36</v>
      </c>
      <c r="F759" t="s">
        <v>18</v>
      </c>
      <c r="G759" t="s">
        <v>60</v>
      </c>
      <c r="H759">
        <v>7</v>
      </c>
      <c r="I759" s="3">
        <v>1800</v>
      </c>
      <c r="J759" s="3">
        <v>2800</v>
      </c>
      <c r="K759" s="3">
        <v>19600</v>
      </c>
      <c r="L759" s="3">
        <v>12600</v>
      </c>
      <c r="M759" s="3">
        <v>7000</v>
      </c>
      <c r="N759" s="5">
        <v>0.35714285714285721</v>
      </c>
    </row>
    <row r="760" spans="1:14" x14ac:dyDescent="0.3">
      <c r="A760" t="s">
        <v>947</v>
      </c>
      <c r="B760" s="2">
        <v>45782</v>
      </c>
      <c r="C760" t="s">
        <v>65</v>
      </c>
      <c r="D760" t="s">
        <v>35</v>
      </c>
      <c r="E760" t="s">
        <v>36</v>
      </c>
      <c r="F760" t="s">
        <v>24</v>
      </c>
      <c r="G760" t="s">
        <v>63</v>
      </c>
      <c r="H760">
        <v>2</v>
      </c>
      <c r="I760" s="3">
        <v>42000</v>
      </c>
      <c r="J760" s="3">
        <v>55000</v>
      </c>
      <c r="K760" s="3">
        <v>110000</v>
      </c>
      <c r="L760" s="3">
        <v>84000</v>
      </c>
      <c r="M760" s="3">
        <v>26000</v>
      </c>
      <c r="N760" s="5">
        <v>0.23636363636363639</v>
      </c>
    </row>
    <row r="761" spans="1:14" x14ac:dyDescent="0.3">
      <c r="A761" t="s">
        <v>948</v>
      </c>
      <c r="B761" s="2">
        <v>45753</v>
      </c>
      <c r="C761" t="s">
        <v>528</v>
      </c>
      <c r="D761" t="s">
        <v>16</v>
      </c>
      <c r="E761" t="s">
        <v>36</v>
      </c>
      <c r="F761" t="s">
        <v>18</v>
      </c>
      <c r="G761" t="s">
        <v>19</v>
      </c>
      <c r="H761">
        <v>9</v>
      </c>
      <c r="I761" s="3">
        <v>1800</v>
      </c>
      <c r="J761" s="3">
        <v>2600</v>
      </c>
      <c r="K761" s="3">
        <v>23400</v>
      </c>
      <c r="L761" s="3">
        <v>16200</v>
      </c>
      <c r="M761" s="3">
        <v>7200</v>
      </c>
      <c r="N761" s="5">
        <v>0.30769230769230771</v>
      </c>
    </row>
    <row r="762" spans="1:14" x14ac:dyDescent="0.3">
      <c r="A762" t="s">
        <v>949</v>
      </c>
      <c r="B762" s="2">
        <v>45775</v>
      </c>
      <c r="C762" t="s">
        <v>97</v>
      </c>
      <c r="D762" t="s">
        <v>40</v>
      </c>
      <c r="E762" t="s">
        <v>55</v>
      </c>
      <c r="F762" t="s">
        <v>18</v>
      </c>
      <c r="G762" t="s">
        <v>37</v>
      </c>
      <c r="H762">
        <v>9</v>
      </c>
      <c r="I762" s="3">
        <v>400</v>
      </c>
      <c r="J762" s="3">
        <v>650</v>
      </c>
      <c r="K762" s="3">
        <v>5850</v>
      </c>
      <c r="L762" s="3">
        <v>3600</v>
      </c>
      <c r="M762" s="3">
        <v>2250</v>
      </c>
      <c r="N762" s="5">
        <v>0.38461538461538458</v>
      </c>
    </row>
    <row r="763" spans="1:14" x14ac:dyDescent="0.3">
      <c r="A763" t="s">
        <v>950</v>
      </c>
      <c r="B763" s="2">
        <v>45967</v>
      </c>
      <c r="C763" t="s">
        <v>552</v>
      </c>
      <c r="D763" t="s">
        <v>35</v>
      </c>
      <c r="E763" t="s">
        <v>36</v>
      </c>
      <c r="F763" t="s">
        <v>18</v>
      </c>
      <c r="G763" t="s">
        <v>19</v>
      </c>
      <c r="H763">
        <v>14</v>
      </c>
      <c r="I763" s="3">
        <v>1800</v>
      </c>
      <c r="J763" s="3">
        <v>2600</v>
      </c>
      <c r="K763" s="3">
        <v>36400</v>
      </c>
      <c r="L763" s="3">
        <v>25200</v>
      </c>
      <c r="M763" s="3">
        <v>11200</v>
      </c>
      <c r="N763" s="5">
        <v>0.30769230769230771</v>
      </c>
    </row>
    <row r="764" spans="1:14" x14ac:dyDescent="0.3">
      <c r="A764" t="s">
        <v>951</v>
      </c>
      <c r="B764" s="2">
        <v>45938</v>
      </c>
      <c r="C764" t="s">
        <v>470</v>
      </c>
      <c r="D764" t="s">
        <v>46</v>
      </c>
      <c r="E764" t="s">
        <v>36</v>
      </c>
      <c r="F764" t="s">
        <v>18</v>
      </c>
      <c r="G764" t="s">
        <v>76</v>
      </c>
      <c r="H764">
        <v>10</v>
      </c>
      <c r="I764" s="3">
        <v>2500</v>
      </c>
      <c r="J764" s="3">
        <v>3600</v>
      </c>
      <c r="K764" s="3">
        <v>36000</v>
      </c>
      <c r="L764" s="3">
        <v>25000</v>
      </c>
      <c r="M764" s="3">
        <v>11000</v>
      </c>
      <c r="N764" s="5">
        <v>0.30555555555555558</v>
      </c>
    </row>
    <row r="765" spans="1:14" x14ac:dyDescent="0.3">
      <c r="A765" t="s">
        <v>952</v>
      </c>
      <c r="B765" s="2">
        <v>45975</v>
      </c>
      <c r="C765" t="s">
        <v>218</v>
      </c>
      <c r="D765" t="s">
        <v>22</v>
      </c>
      <c r="E765" t="s">
        <v>36</v>
      </c>
      <c r="F765" t="s">
        <v>47</v>
      </c>
      <c r="G765" t="s">
        <v>48</v>
      </c>
      <c r="H765">
        <v>19</v>
      </c>
      <c r="I765" s="3">
        <v>2800</v>
      </c>
      <c r="J765" s="3">
        <v>4200</v>
      </c>
      <c r="K765" s="3">
        <v>79800</v>
      </c>
      <c r="L765" s="3">
        <v>53200</v>
      </c>
      <c r="M765" s="3">
        <v>26600</v>
      </c>
      <c r="N765" s="5">
        <v>0.33333333333333331</v>
      </c>
    </row>
    <row r="766" spans="1:14" x14ac:dyDescent="0.3">
      <c r="A766" t="s">
        <v>953</v>
      </c>
      <c r="B766" s="2">
        <v>45752</v>
      </c>
      <c r="C766" t="s">
        <v>213</v>
      </c>
      <c r="D766" t="s">
        <v>35</v>
      </c>
      <c r="E766" t="s">
        <v>17</v>
      </c>
      <c r="F766" t="s">
        <v>18</v>
      </c>
      <c r="G766" t="s">
        <v>60</v>
      </c>
      <c r="H766">
        <v>1</v>
      </c>
      <c r="I766" s="3">
        <v>1800</v>
      </c>
      <c r="J766" s="3">
        <v>2800</v>
      </c>
      <c r="K766" s="3">
        <v>2800</v>
      </c>
      <c r="L766" s="3">
        <v>1800</v>
      </c>
      <c r="M766" s="3">
        <v>1000</v>
      </c>
      <c r="N766" s="5">
        <v>0.35714285714285721</v>
      </c>
    </row>
    <row r="767" spans="1:14" x14ac:dyDescent="0.3">
      <c r="A767" t="s">
        <v>954</v>
      </c>
      <c r="B767" s="2">
        <v>45757</v>
      </c>
      <c r="C767" t="s">
        <v>112</v>
      </c>
      <c r="D767" t="s">
        <v>40</v>
      </c>
      <c r="E767" t="s">
        <v>17</v>
      </c>
      <c r="F767" t="s">
        <v>18</v>
      </c>
      <c r="G767" t="s">
        <v>19</v>
      </c>
      <c r="H767">
        <v>2</v>
      </c>
      <c r="I767" s="3">
        <v>1800</v>
      </c>
      <c r="J767" s="3">
        <v>2600</v>
      </c>
      <c r="K767" s="3">
        <v>5200</v>
      </c>
      <c r="L767" s="3">
        <v>3600</v>
      </c>
      <c r="M767" s="3">
        <v>1600</v>
      </c>
      <c r="N767" s="5">
        <v>0.30769230769230771</v>
      </c>
    </row>
    <row r="768" spans="1:14" x14ac:dyDescent="0.3">
      <c r="A768" t="s">
        <v>955</v>
      </c>
      <c r="B768" s="2">
        <v>45662</v>
      </c>
      <c r="C768" t="s">
        <v>95</v>
      </c>
      <c r="D768" t="s">
        <v>22</v>
      </c>
      <c r="E768" t="s">
        <v>36</v>
      </c>
      <c r="F768" t="s">
        <v>18</v>
      </c>
      <c r="G768" t="s">
        <v>60</v>
      </c>
      <c r="H768">
        <v>13</v>
      </c>
      <c r="I768" s="3">
        <v>1800</v>
      </c>
      <c r="J768" s="3">
        <v>2800</v>
      </c>
      <c r="K768" s="3">
        <v>36400</v>
      </c>
      <c r="L768" s="3">
        <v>23400</v>
      </c>
      <c r="M768" s="3">
        <v>13000</v>
      </c>
      <c r="N768" s="5">
        <v>0.35714285714285721</v>
      </c>
    </row>
    <row r="769" spans="1:14" x14ac:dyDescent="0.3">
      <c r="A769" t="s">
        <v>956</v>
      </c>
      <c r="B769" s="2">
        <v>45675</v>
      </c>
      <c r="C769" t="s">
        <v>168</v>
      </c>
      <c r="D769" t="s">
        <v>40</v>
      </c>
      <c r="E769" t="s">
        <v>36</v>
      </c>
      <c r="F769" t="s">
        <v>18</v>
      </c>
      <c r="G769" t="s">
        <v>76</v>
      </c>
      <c r="H769">
        <v>17</v>
      </c>
      <c r="I769" s="3">
        <v>2500</v>
      </c>
      <c r="J769" s="3">
        <v>3600</v>
      </c>
      <c r="K769" s="3">
        <v>61200</v>
      </c>
      <c r="L769" s="3">
        <v>42500</v>
      </c>
      <c r="M769" s="3">
        <v>18700</v>
      </c>
      <c r="N769" s="5">
        <v>0.30555555555555558</v>
      </c>
    </row>
    <row r="770" spans="1:14" x14ac:dyDescent="0.3">
      <c r="A770" t="s">
        <v>957</v>
      </c>
      <c r="B770" s="2">
        <v>45774</v>
      </c>
      <c r="C770" t="s">
        <v>643</v>
      </c>
      <c r="D770" t="s">
        <v>40</v>
      </c>
      <c r="E770" t="s">
        <v>23</v>
      </c>
      <c r="F770" t="s">
        <v>18</v>
      </c>
      <c r="G770" t="s">
        <v>19</v>
      </c>
      <c r="H770">
        <v>2</v>
      </c>
      <c r="I770" s="3">
        <v>1800</v>
      </c>
      <c r="J770" s="3">
        <v>2600</v>
      </c>
      <c r="K770" s="3">
        <v>5200</v>
      </c>
      <c r="L770" s="3">
        <v>3600</v>
      </c>
      <c r="M770" s="3">
        <v>1600</v>
      </c>
      <c r="N770" s="5">
        <v>0.30769230769230771</v>
      </c>
    </row>
    <row r="771" spans="1:14" x14ac:dyDescent="0.3">
      <c r="A771" t="s">
        <v>958</v>
      </c>
      <c r="B771" s="2">
        <v>46016</v>
      </c>
      <c r="C771" t="s">
        <v>133</v>
      </c>
      <c r="D771" t="s">
        <v>46</v>
      </c>
      <c r="E771" t="s">
        <v>36</v>
      </c>
      <c r="F771" t="s">
        <v>18</v>
      </c>
      <c r="G771" t="s">
        <v>76</v>
      </c>
      <c r="H771">
        <v>17</v>
      </c>
      <c r="I771" s="3">
        <v>2500</v>
      </c>
      <c r="J771" s="3">
        <v>3600</v>
      </c>
      <c r="K771" s="3">
        <v>61200</v>
      </c>
      <c r="L771" s="3">
        <v>42500</v>
      </c>
      <c r="M771" s="3">
        <v>18700</v>
      </c>
      <c r="N771" s="5">
        <v>0.30555555555555558</v>
      </c>
    </row>
    <row r="772" spans="1:14" x14ac:dyDescent="0.3">
      <c r="A772" t="s">
        <v>959</v>
      </c>
      <c r="B772" s="2">
        <v>45721</v>
      </c>
      <c r="C772" t="s">
        <v>87</v>
      </c>
      <c r="D772" t="s">
        <v>35</v>
      </c>
      <c r="E772" t="s">
        <v>28</v>
      </c>
      <c r="F772" t="s">
        <v>18</v>
      </c>
      <c r="G772" t="s">
        <v>72</v>
      </c>
      <c r="H772">
        <v>7</v>
      </c>
      <c r="I772" s="3">
        <v>900</v>
      </c>
      <c r="J772" s="3">
        <v>1500</v>
      </c>
      <c r="K772" s="3">
        <v>10500</v>
      </c>
      <c r="L772" s="3">
        <v>6300</v>
      </c>
      <c r="M772" s="3">
        <v>4200</v>
      </c>
      <c r="N772" s="5">
        <v>0.4</v>
      </c>
    </row>
    <row r="773" spans="1:14" x14ac:dyDescent="0.3">
      <c r="A773" t="s">
        <v>960</v>
      </c>
      <c r="B773" s="2">
        <v>45937</v>
      </c>
      <c r="C773" t="s">
        <v>325</v>
      </c>
      <c r="D773" t="s">
        <v>46</v>
      </c>
      <c r="E773" t="s">
        <v>36</v>
      </c>
      <c r="F773" t="s">
        <v>24</v>
      </c>
      <c r="G773" t="s">
        <v>63</v>
      </c>
      <c r="H773">
        <v>20</v>
      </c>
      <c r="I773" s="3">
        <v>42000</v>
      </c>
      <c r="J773" s="3">
        <v>55000</v>
      </c>
      <c r="K773" s="3">
        <v>1100000</v>
      </c>
      <c r="L773" s="3">
        <v>840000</v>
      </c>
      <c r="M773" s="3">
        <v>260000</v>
      </c>
      <c r="N773" s="5">
        <v>0.23636363636363639</v>
      </c>
    </row>
    <row r="774" spans="1:14" x14ac:dyDescent="0.3">
      <c r="A774" t="s">
        <v>961</v>
      </c>
      <c r="B774" s="2">
        <v>45963</v>
      </c>
      <c r="C774" t="s">
        <v>719</v>
      </c>
      <c r="D774" t="s">
        <v>22</v>
      </c>
      <c r="E774" t="s">
        <v>32</v>
      </c>
      <c r="F774" t="s">
        <v>47</v>
      </c>
      <c r="G774" t="s">
        <v>48</v>
      </c>
      <c r="H774">
        <v>12</v>
      </c>
      <c r="I774" s="3">
        <v>2800</v>
      </c>
      <c r="J774" s="3">
        <v>4200</v>
      </c>
      <c r="K774" s="3">
        <v>50400</v>
      </c>
      <c r="L774" s="3">
        <v>33600</v>
      </c>
      <c r="M774" s="3">
        <v>16800</v>
      </c>
      <c r="N774" s="5">
        <v>0.33333333333333331</v>
      </c>
    </row>
    <row r="775" spans="1:14" x14ac:dyDescent="0.3">
      <c r="A775" t="s">
        <v>962</v>
      </c>
      <c r="B775" s="2">
        <v>45703</v>
      </c>
      <c r="C775" t="s">
        <v>487</v>
      </c>
      <c r="D775" t="s">
        <v>46</v>
      </c>
      <c r="E775" t="s">
        <v>36</v>
      </c>
      <c r="F775" t="s">
        <v>24</v>
      </c>
      <c r="G775" t="s">
        <v>63</v>
      </c>
      <c r="H775">
        <v>13</v>
      </c>
      <c r="I775" s="3">
        <v>42000</v>
      </c>
      <c r="J775" s="3">
        <v>55000</v>
      </c>
      <c r="K775" s="3">
        <v>715000</v>
      </c>
      <c r="L775" s="3">
        <v>546000</v>
      </c>
      <c r="M775" s="3">
        <v>169000</v>
      </c>
      <c r="N775" s="5">
        <v>0.23636363636363639</v>
      </c>
    </row>
    <row r="776" spans="1:14" x14ac:dyDescent="0.3">
      <c r="A776" t="s">
        <v>963</v>
      </c>
      <c r="B776" s="2">
        <v>45882</v>
      </c>
      <c r="C776" t="s">
        <v>545</v>
      </c>
      <c r="D776" t="s">
        <v>16</v>
      </c>
      <c r="E776" t="s">
        <v>32</v>
      </c>
      <c r="F776" t="s">
        <v>41</v>
      </c>
      <c r="G776" t="s">
        <v>42</v>
      </c>
      <c r="H776">
        <v>1</v>
      </c>
      <c r="I776" s="3">
        <v>8500</v>
      </c>
      <c r="J776" s="3">
        <v>12000</v>
      </c>
      <c r="K776" s="3">
        <v>12000</v>
      </c>
      <c r="L776" s="3">
        <v>8500</v>
      </c>
      <c r="M776" s="3">
        <v>3500</v>
      </c>
      <c r="N776" s="5">
        <v>0.29166666666666669</v>
      </c>
    </row>
    <row r="777" spans="1:14" x14ac:dyDescent="0.3">
      <c r="A777" t="s">
        <v>964</v>
      </c>
      <c r="B777" s="2">
        <v>45966</v>
      </c>
      <c r="C777" t="s">
        <v>346</v>
      </c>
      <c r="D777" t="s">
        <v>46</v>
      </c>
      <c r="E777" t="s">
        <v>36</v>
      </c>
      <c r="F777" t="s">
        <v>24</v>
      </c>
      <c r="G777" t="s">
        <v>29</v>
      </c>
      <c r="H777">
        <v>18</v>
      </c>
      <c r="I777" s="3">
        <v>12000</v>
      </c>
      <c r="J777" s="3">
        <v>16500</v>
      </c>
      <c r="K777" s="3">
        <v>297000</v>
      </c>
      <c r="L777" s="3">
        <v>216000</v>
      </c>
      <c r="M777" s="3">
        <v>81000</v>
      </c>
      <c r="N777" s="5">
        <v>0.27272727272727271</v>
      </c>
    </row>
    <row r="778" spans="1:14" x14ac:dyDescent="0.3">
      <c r="A778" t="s">
        <v>965</v>
      </c>
      <c r="B778" s="2">
        <v>45896</v>
      </c>
      <c r="C778" t="s">
        <v>719</v>
      </c>
      <c r="D778" t="s">
        <v>40</v>
      </c>
      <c r="E778" t="s">
        <v>23</v>
      </c>
      <c r="F778" t="s">
        <v>47</v>
      </c>
      <c r="G778" t="s">
        <v>48</v>
      </c>
      <c r="H778">
        <v>12</v>
      </c>
      <c r="I778" s="3">
        <v>2800</v>
      </c>
      <c r="J778" s="3">
        <v>4200</v>
      </c>
      <c r="K778" s="3">
        <v>50400</v>
      </c>
      <c r="L778" s="3">
        <v>33600</v>
      </c>
      <c r="M778" s="3">
        <v>16800</v>
      </c>
      <c r="N778" s="5">
        <v>0.33333333333333331</v>
      </c>
    </row>
    <row r="779" spans="1:14" x14ac:dyDescent="0.3">
      <c r="A779" t="s">
        <v>966</v>
      </c>
      <c r="B779" s="2">
        <v>45800</v>
      </c>
      <c r="C779" t="s">
        <v>311</v>
      </c>
      <c r="D779" t="s">
        <v>46</v>
      </c>
      <c r="E779" t="s">
        <v>55</v>
      </c>
      <c r="F779" t="s">
        <v>47</v>
      </c>
      <c r="G779" t="s">
        <v>48</v>
      </c>
      <c r="H779">
        <v>7</v>
      </c>
      <c r="I779" s="3">
        <v>2800</v>
      </c>
      <c r="J779" s="3">
        <v>4200</v>
      </c>
      <c r="K779" s="3">
        <v>29400</v>
      </c>
      <c r="L779" s="3">
        <v>19600</v>
      </c>
      <c r="M779" s="3">
        <v>9800</v>
      </c>
      <c r="N779" s="5">
        <v>0.33333333333333331</v>
      </c>
    </row>
    <row r="780" spans="1:14" x14ac:dyDescent="0.3">
      <c r="A780" t="s">
        <v>967</v>
      </c>
      <c r="B780" s="2">
        <v>45761</v>
      </c>
      <c r="C780" t="s">
        <v>287</v>
      </c>
      <c r="D780" t="s">
        <v>35</v>
      </c>
      <c r="E780" t="s">
        <v>17</v>
      </c>
      <c r="F780" t="s">
        <v>18</v>
      </c>
      <c r="G780" t="s">
        <v>72</v>
      </c>
      <c r="H780">
        <v>18</v>
      </c>
      <c r="I780" s="3">
        <v>900</v>
      </c>
      <c r="J780" s="3">
        <v>1500</v>
      </c>
      <c r="K780" s="3">
        <v>27000</v>
      </c>
      <c r="L780" s="3">
        <v>16200</v>
      </c>
      <c r="M780" s="3">
        <v>10800</v>
      </c>
      <c r="N780" s="5">
        <v>0.4</v>
      </c>
    </row>
    <row r="781" spans="1:14" x14ac:dyDescent="0.3">
      <c r="A781" t="s">
        <v>968</v>
      </c>
      <c r="B781" s="2">
        <v>45659</v>
      </c>
      <c r="C781" t="s">
        <v>233</v>
      </c>
      <c r="D781" t="s">
        <v>22</v>
      </c>
      <c r="E781" t="s">
        <v>23</v>
      </c>
      <c r="F781" t="s">
        <v>41</v>
      </c>
      <c r="G781" t="s">
        <v>42</v>
      </c>
      <c r="H781">
        <v>19</v>
      </c>
      <c r="I781" s="3">
        <v>8500</v>
      </c>
      <c r="J781" s="3">
        <v>12000</v>
      </c>
      <c r="K781" s="3">
        <v>228000</v>
      </c>
      <c r="L781" s="3">
        <v>161500</v>
      </c>
      <c r="M781" s="3">
        <v>66500</v>
      </c>
      <c r="N781" s="5">
        <v>0.29166666666666669</v>
      </c>
    </row>
    <row r="782" spans="1:14" x14ac:dyDescent="0.3">
      <c r="A782" t="s">
        <v>969</v>
      </c>
      <c r="B782" s="2">
        <v>45869</v>
      </c>
      <c r="C782" t="s">
        <v>197</v>
      </c>
      <c r="D782" t="s">
        <v>40</v>
      </c>
      <c r="E782" t="s">
        <v>17</v>
      </c>
      <c r="F782" t="s">
        <v>24</v>
      </c>
      <c r="G782" t="s">
        <v>63</v>
      </c>
      <c r="H782">
        <v>14</v>
      </c>
      <c r="I782" s="3">
        <v>42000</v>
      </c>
      <c r="J782" s="3">
        <v>55000</v>
      </c>
      <c r="K782" s="3">
        <v>770000</v>
      </c>
      <c r="L782" s="3">
        <v>588000</v>
      </c>
      <c r="M782" s="3">
        <v>182000</v>
      </c>
      <c r="N782" s="5">
        <v>0.23636363636363639</v>
      </c>
    </row>
    <row r="783" spans="1:14" x14ac:dyDescent="0.3">
      <c r="A783" t="s">
        <v>970</v>
      </c>
      <c r="B783" s="2">
        <v>46020</v>
      </c>
      <c r="C783" t="s">
        <v>138</v>
      </c>
      <c r="D783" t="s">
        <v>46</v>
      </c>
      <c r="E783" t="s">
        <v>17</v>
      </c>
      <c r="F783" t="s">
        <v>47</v>
      </c>
      <c r="G783" t="s">
        <v>48</v>
      </c>
      <c r="H783">
        <v>7</v>
      </c>
      <c r="I783" s="3">
        <v>2800</v>
      </c>
      <c r="J783" s="3">
        <v>4200</v>
      </c>
      <c r="K783" s="3">
        <v>29400</v>
      </c>
      <c r="L783" s="3">
        <v>19600</v>
      </c>
      <c r="M783" s="3">
        <v>9800</v>
      </c>
      <c r="N783" s="5">
        <v>0.33333333333333331</v>
      </c>
    </row>
    <row r="784" spans="1:14" x14ac:dyDescent="0.3">
      <c r="A784" t="s">
        <v>971</v>
      </c>
      <c r="B784" s="2">
        <v>45979</v>
      </c>
      <c r="C784" t="s">
        <v>110</v>
      </c>
      <c r="D784" t="s">
        <v>22</v>
      </c>
      <c r="E784" t="s">
        <v>36</v>
      </c>
      <c r="F784" t="s">
        <v>24</v>
      </c>
      <c r="G784" t="s">
        <v>29</v>
      </c>
      <c r="H784">
        <v>18</v>
      </c>
      <c r="I784" s="3">
        <v>12000</v>
      </c>
      <c r="J784" s="3">
        <v>16500</v>
      </c>
      <c r="K784" s="3">
        <v>297000</v>
      </c>
      <c r="L784" s="3">
        <v>216000</v>
      </c>
      <c r="M784" s="3">
        <v>81000</v>
      </c>
      <c r="N784" s="5">
        <v>0.27272727272727271</v>
      </c>
    </row>
    <row r="785" spans="1:14" x14ac:dyDescent="0.3">
      <c r="A785" t="s">
        <v>972</v>
      </c>
      <c r="B785" s="2">
        <v>45835</v>
      </c>
      <c r="C785" t="s">
        <v>104</v>
      </c>
      <c r="D785" t="s">
        <v>40</v>
      </c>
      <c r="E785" t="s">
        <v>36</v>
      </c>
      <c r="F785" t="s">
        <v>24</v>
      </c>
      <c r="G785" t="s">
        <v>29</v>
      </c>
      <c r="H785">
        <v>14</v>
      </c>
      <c r="I785" s="3">
        <v>12000</v>
      </c>
      <c r="J785" s="3">
        <v>16500</v>
      </c>
      <c r="K785" s="3">
        <v>231000</v>
      </c>
      <c r="L785" s="3">
        <v>168000</v>
      </c>
      <c r="M785" s="3">
        <v>63000</v>
      </c>
      <c r="N785" s="5">
        <v>0.27272727272727271</v>
      </c>
    </row>
    <row r="786" spans="1:14" x14ac:dyDescent="0.3">
      <c r="A786" t="s">
        <v>973</v>
      </c>
      <c r="B786" s="2">
        <v>45954</v>
      </c>
      <c r="C786" t="s">
        <v>125</v>
      </c>
      <c r="D786" t="s">
        <v>22</v>
      </c>
      <c r="E786" t="s">
        <v>36</v>
      </c>
      <c r="F786" t="s">
        <v>18</v>
      </c>
      <c r="G786" t="s">
        <v>37</v>
      </c>
      <c r="H786">
        <v>13</v>
      </c>
      <c r="I786" s="3">
        <v>400</v>
      </c>
      <c r="J786" s="3">
        <v>650</v>
      </c>
      <c r="K786" s="3">
        <v>8450</v>
      </c>
      <c r="L786" s="3">
        <v>5200</v>
      </c>
      <c r="M786" s="3">
        <v>3250</v>
      </c>
      <c r="N786" s="5">
        <v>0.38461538461538458</v>
      </c>
    </row>
    <row r="787" spans="1:14" x14ac:dyDescent="0.3">
      <c r="A787" t="s">
        <v>974</v>
      </c>
      <c r="B787" s="2">
        <v>46015</v>
      </c>
      <c r="C787" t="s">
        <v>346</v>
      </c>
      <c r="D787" t="s">
        <v>46</v>
      </c>
      <c r="E787" t="s">
        <v>55</v>
      </c>
      <c r="F787" t="s">
        <v>18</v>
      </c>
      <c r="G787" t="s">
        <v>72</v>
      </c>
      <c r="H787">
        <v>13</v>
      </c>
      <c r="I787" s="3">
        <v>900</v>
      </c>
      <c r="J787" s="3">
        <v>1500</v>
      </c>
      <c r="K787" s="3">
        <v>19500</v>
      </c>
      <c r="L787" s="3">
        <v>11700</v>
      </c>
      <c r="M787" s="3">
        <v>7800</v>
      </c>
      <c r="N787" s="5">
        <v>0.4</v>
      </c>
    </row>
    <row r="788" spans="1:14" x14ac:dyDescent="0.3">
      <c r="A788" t="s">
        <v>975</v>
      </c>
      <c r="B788" s="2">
        <v>45921</v>
      </c>
      <c r="C788" t="s">
        <v>180</v>
      </c>
      <c r="D788" t="s">
        <v>46</v>
      </c>
      <c r="E788" t="s">
        <v>36</v>
      </c>
      <c r="F788" t="s">
        <v>24</v>
      </c>
      <c r="G788" t="s">
        <v>63</v>
      </c>
      <c r="H788">
        <v>8</v>
      </c>
      <c r="I788" s="3">
        <v>42000</v>
      </c>
      <c r="J788" s="3">
        <v>55000</v>
      </c>
      <c r="K788" s="3">
        <v>440000</v>
      </c>
      <c r="L788" s="3">
        <v>336000</v>
      </c>
      <c r="M788" s="3">
        <v>104000</v>
      </c>
      <c r="N788" s="5">
        <v>0.23636363636363639</v>
      </c>
    </row>
    <row r="789" spans="1:14" x14ac:dyDescent="0.3">
      <c r="A789" t="s">
        <v>976</v>
      </c>
      <c r="B789" s="2">
        <v>45973</v>
      </c>
      <c r="C789" t="s">
        <v>102</v>
      </c>
      <c r="D789" t="s">
        <v>35</v>
      </c>
      <c r="E789" t="s">
        <v>28</v>
      </c>
      <c r="F789" t="s">
        <v>18</v>
      </c>
      <c r="G789" t="s">
        <v>76</v>
      </c>
      <c r="H789">
        <v>13</v>
      </c>
      <c r="I789" s="3">
        <v>2500</v>
      </c>
      <c r="J789" s="3">
        <v>3600</v>
      </c>
      <c r="K789" s="3">
        <v>46800</v>
      </c>
      <c r="L789" s="3">
        <v>32500</v>
      </c>
      <c r="M789" s="3">
        <v>14300</v>
      </c>
      <c r="N789" s="5">
        <v>0.30555555555555558</v>
      </c>
    </row>
    <row r="790" spans="1:14" x14ac:dyDescent="0.3">
      <c r="A790" t="s">
        <v>977</v>
      </c>
      <c r="B790" s="2">
        <v>45756</v>
      </c>
      <c r="C790" t="s">
        <v>498</v>
      </c>
      <c r="D790" t="s">
        <v>22</v>
      </c>
      <c r="E790" t="s">
        <v>32</v>
      </c>
      <c r="F790" t="s">
        <v>18</v>
      </c>
      <c r="G790" t="s">
        <v>60</v>
      </c>
      <c r="H790">
        <v>19</v>
      </c>
      <c r="I790" s="3">
        <v>1800</v>
      </c>
      <c r="J790" s="3">
        <v>2800</v>
      </c>
      <c r="K790" s="3">
        <v>53200</v>
      </c>
      <c r="L790" s="3">
        <v>34200</v>
      </c>
      <c r="M790" s="3">
        <v>19000</v>
      </c>
      <c r="N790" s="5">
        <v>0.35714285714285721</v>
      </c>
    </row>
    <row r="791" spans="1:14" x14ac:dyDescent="0.3">
      <c r="A791" t="s">
        <v>978</v>
      </c>
      <c r="B791" s="2">
        <v>45968</v>
      </c>
      <c r="C791" t="s">
        <v>146</v>
      </c>
      <c r="D791" t="s">
        <v>35</v>
      </c>
      <c r="E791" t="s">
        <v>36</v>
      </c>
      <c r="F791" t="s">
        <v>24</v>
      </c>
      <c r="G791" t="s">
        <v>25</v>
      </c>
      <c r="H791">
        <v>19</v>
      </c>
      <c r="I791" s="3">
        <v>15000</v>
      </c>
      <c r="J791" s="3">
        <v>19500</v>
      </c>
      <c r="K791" s="3">
        <v>370500</v>
      </c>
      <c r="L791" s="3">
        <v>285000</v>
      </c>
      <c r="M791" s="3">
        <v>85500</v>
      </c>
      <c r="N791" s="5">
        <v>0.23076923076923081</v>
      </c>
    </row>
    <row r="792" spans="1:14" x14ac:dyDescent="0.3">
      <c r="A792" t="s">
        <v>979</v>
      </c>
      <c r="B792" s="2">
        <v>45980</v>
      </c>
      <c r="C792" t="s">
        <v>186</v>
      </c>
      <c r="D792" t="s">
        <v>16</v>
      </c>
      <c r="E792" t="s">
        <v>36</v>
      </c>
      <c r="F792" t="s">
        <v>18</v>
      </c>
      <c r="G792" t="s">
        <v>72</v>
      </c>
      <c r="H792">
        <v>7</v>
      </c>
      <c r="I792" s="3">
        <v>900</v>
      </c>
      <c r="J792" s="3">
        <v>1500</v>
      </c>
      <c r="K792" s="3">
        <v>10500</v>
      </c>
      <c r="L792" s="3">
        <v>6300</v>
      </c>
      <c r="M792" s="3">
        <v>4200</v>
      </c>
      <c r="N792" s="5">
        <v>0.4</v>
      </c>
    </row>
    <row r="793" spans="1:14" x14ac:dyDescent="0.3">
      <c r="A793" t="s">
        <v>980</v>
      </c>
      <c r="B793" s="2">
        <v>45674</v>
      </c>
      <c r="C793" t="s">
        <v>138</v>
      </c>
      <c r="D793" t="s">
        <v>16</v>
      </c>
      <c r="E793" t="s">
        <v>23</v>
      </c>
      <c r="F793" t="s">
        <v>24</v>
      </c>
      <c r="G793" t="s">
        <v>63</v>
      </c>
      <c r="H793">
        <v>17</v>
      </c>
      <c r="I793" s="3">
        <v>42000</v>
      </c>
      <c r="J793" s="3">
        <v>55000</v>
      </c>
      <c r="K793" s="3">
        <v>935000</v>
      </c>
      <c r="L793" s="3">
        <v>714000</v>
      </c>
      <c r="M793" s="3">
        <v>221000</v>
      </c>
      <c r="N793" s="5">
        <v>0.23636363636363639</v>
      </c>
    </row>
    <row r="794" spans="1:14" x14ac:dyDescent="0.3">
      <c r="A794" t="s">
        <v>981</v>
      </c>
      <c r="B794" s="2">
        <v>45936</v>
      </c>
      <c r="C794" t="s">
        <v>65</v>
      </c>
      <c r="D794" t="s">
        <v>22</v>
      </c>
      <c r="E794" t="s">
        <v>32</v>
      </c>
      <c r="F794" t="s">
        <v>24</v>
      </c>
      <c r="G794" t="s">
        <v>29</v>
      </c>
      <c r="H794">
        <v>17</v>
      </c>
      <c r="I794" s="3">
        <v>12000</v>
      </c>
      <c r="J794" s="3">
        <v>16500</v>
      </c>
      <c r="K794" s="3">
        <v>280500</v>
      </c>
      <c r="L794" s="3">
        <v>204000</v>
      </c>
      <c r="M794" s="3">
        <v>76500</v>
      </c>
      <c r="N794" s="5">
        <v>0.27272727272727271</v>
      </c>
    </row>
    <row r="795" spans="1:14" x14ac:dyDescent="0.3">
      <c r="A795" t="s">
        <v>982</v>
      </c>
      <c r="B795" s="2">
        <v>45943</v>
      </c>
      <c r="C795" t="s">
        <v>367</v>
      </c>
      <c r="D795" t="s">
        <v>22</v>
      </c>
      <c r="E795" t="s">
        <v>23</v>
      </c>
      <c r="F795" t="s">
        <v>18</v>
      </c>
      <c r="G795" t="s">
        <v>37</v>
      </c>
      <c r="H795">
        <v>20</v>
      </c>
      <c r="I795" s="3">
        <v>400</v>
      </c>
      <c r="J795" s="3">
        <v>650</v>
      </c>
      <c r="K795" s="3">
        <v>13000</v>
      </c>
      <c r="L795" s="3">
        <v>8000</v>
      </c>
      <c r="M795" s="3">
        <v>5000</v>
      </c>
      <c r="N795" s="5">
        <v>0.38461538461538458</v>
      </c>
    </row>
    <row r="796" spans="1:14" x14ac:dyDescent="0.3">
      <c r="A796" t="s">
        <v>983</v>
      </c>
      <c r="B796" s="2">
        <v>45865</v>
      </c>
      <c r="C796" t="s">
        <v>93</v>
      </c>
      <c r="D796" t="s">
        <v>40</v>
      </c>
      <c r="E796" t="s">
        <v>36</v>
      </c>
      <c r="F796" t="s">
        <v>18</v>
      </c>
      <c r="G796" t="s">
        <v>19</v>
      </c>
      <c r="H796">
        <v>14</v>
      </c>
      <c r="I796" s="3">
        <v>1800</v>
      </c>
      <c r="J796" s="3">
        <v>2600</v>
      </c>
      <c r="K796" s="3">
        <v>36400</v>
      </c>
      <c r="L796" s="3">
        <v>25200</v>
      </c>
      <c r="M796" s="3">
        <v>11200</v>
      </c>
      <c r="N796" s="5">
        <v>0.30769230769230771</v>
      </c>
    </row>
    <row r="797" spans="1:14" x14ac:dyDescent="0.3">
      <c r="A797" t="s">
        <v>984</v>
      </c>
      <c r="B797" s="2">
        <v>46000</v>
      </c>
      <c r="C797" t="s">
        <v>110</v>
      </c>
      <c r="D797" t="s">
        <v>40</v>
      </c>
      <c r="E797" t="s">
        <v>36</v>
      </c>
      <c r="F797" t="s">
        <v>41</v>
      </c>
      <c r="G797" t="s">
        <v>42</v>
      </c>
      <c r="H797">
        <v>8</v>
      </c>
      <c r="I797" s="3">
        <v>8500</v>
      </c>
      <c r="J797" s="3">
        <v>12000</v>
      </c>
      <c r="K797" s="3">
        <v>96000</v>
      </c>
      <c r="L797" s="3">
        <v>68000</v>
      </c>
      <c r="M797" s="3">
        <v>28000</v>
      </c>
      <c r="N797" s="5">
        <v>0.29166666666666669</v>
      </c>
    </row>
    <row r="798" spans="1:14" x14ac:dyDescent="0.3">
      <c r="A798" t="s">
        <v>985</v>
      </c>
      <c r="B798" s="2">
        <v>45842</v>
      </c>
      <c r="C798" t="s">
        <v>136</v>
      </c>
      <c r="D798" t="s">
        <v>40</v>
      </c>
      <c r="E798" t="s">
        <v>55</v>
      </c>
      <c r="F798" t="s">
        <v>24</v>
      </c>
      <c r="G798" t="s">
        <v>29</v>
      </c>
      <c r="H798">
        <v>19</v>
      </c>
      <c r="I798" s="3">
        <v>12000</v>
      </c>
      <c r="J798" s="3">
        <v>16500</v>
      </c>
      <c r="K798" s="3">
        <v>313500</v>
      </c>
      <c r="L798" s="3">
        <v>228000</v>
      </c>
      <c r="M798" s="3">
        <v>85500</v>
      </c>
      <c r="N798" s="5">
        <v>0.27272727272727271</v>
      </c>
    </row>
    <row r="799" spans="1:14" x14ac:dyDescent="0.3">
      <c r="A799" t="s">
        <v>986</v>
      </c>
      <c r="B799" s="2">
        <v>45968</v>
      </c>
      <c r="C799" t="s">
        <v>528</v>
      </c>
      <c r="D799" t="s">
        <v>46</v>
      </c>
      <c r="E799" t="s">
        <v>55</v>
      </c>
      <c r="F799" t="s">
        <v>18</v>
      </c>
      <c r="G799" t="s">
        <v>72</v>
      </c>
      <c r="H799">
        <v>6</v>
      </c>
      <c r="I799" s="3">
        <v>900</v>
      </c>
      <c r="J799" s="3">
        <v>1500</v>
      </c>
      <c r="K799" s="3">
        <v>9000</v>
      </c>
      <c r="L799" s="3">
        <v>5400</v>
      </c>
      <c r="M799" s="3">
        <v>3600</v>
      </c>
      <c r="N799" s="5">
        <v>0.4</v>
      </c>
    </row>
    <row r="800" spans="1:14" x14ac:dyDescent="0.3">
      <c r="A800" t="s">
        <v>987</v>
      </c>
      <c r="B800" s="2">
        <v>45884</v>
      </c>
      <c r="C800" t="s">
        <v>156</v>
      </c>
      <c r="D800" t="s">
        <v>46</v>
      </c>
      <c r="E800" t="s">
        <v>36</v>
      </c>
      <c r="F800" t="s">
        <v>47</v>
      </c>
      <c r="G800" t="s">
        <v>48</v>
      </c>
      <c r="H800">
        <v>18</v>
      </c>
      <c r="I800" s="3">
        <v>2800</v>
      </c>
      <c r="J800" s="3">
        <v>4200</v>
      </c>
      <c r="K800" s="3">
        <v>75600</v>
      </c>
      <c r="L800" s="3">
        <v>50400</v>
      </c>
      <c r="M800" s="3">
        <v>25200</v>
      </c>
      <c r="N800" s="5">
        <v>0.33333333333333331</v>
      </c>
    </row>
    <row r="801" spans="1:14" x14ac:dyDescent="0.3">
      <c r="A801" t="s">
        <v>988</v>
      </c>
      <c r="B801" s="2">
        <v>45747</v>
      </c>
      <c r="C801" t="s">
        <v>357</v>
      </c>
      <c r="D801" t="s">
        <v>22</v>
      </c>
      <c r="E801" t="s">
        <v>23</v>
      </c>
      <c r="F801" t="s">
        <v>18</v>
      </c>
      <c r="G801" t="s">
        <v>76</v>
      </c>
      <c r="H801">
        <v>7</v>
      </c>
      <c r="I801" s="3">
        <v>2500</v>
      </c>
      <c r="J801" s="3">
        <v>3600</v>
      </c>
      <c r="K801" s="3">
        <v>25200</v>
      </c>
      <c r="L801" s="3">
        <v>17500</v>
      </c>
      <c r="M801" s="3">
        <v>7700</v>
      </c>
      <c r="N801" s="5">
        <v>0.30555555555555558</v>
      </c>
    </row>
    <row r="802" spans="1:14" x14ac:dyDescent="0.3">
      <c r="A802" t="s">
        <v>989</v>
      </c>
      <c r="B802" s="2">
        <v>45919</v>
      </c>
      <c r="C802" t="s">
        <v>552</v>
      </c>
      <c r="D802" t="s">
        <v>40</v>
      </c>
      <c r="E802" t="s">
        <v>28</v>
      </c>
      <c r="F802" t="s">
        <v>41</v>
      </c>
      <c r="G802" t="s">
        <v>42</v>
      </c>
      <c r="H802">
        <v>6</v>
      </c>
      <c r="I802" s="3">
        <v>8500</v>
      </c>
      <c r="J802" s="3">
        <v>12000</v>
      </c>
      <c r="K802" s="3">
        <v>72000</v>
      </c>
      <c r="L802" s="3">
        <v>51000</v>
      </c>
      <c r="M802" s="3">
        <v>21000</v>
      </c>
      <c r="N802" s="5">
        <v>0.29166666666666669</v>
      </c>
    </row>
    <row r="803" spans="1:14" x14ac:dyDescent="0.3">
      <c r="A803" t="s">
        <v>990</v>
      </c>
      <c r="B803" s="2">
        <v>45704</v>
      </c>
      <c r="C803" t="s">
        <v>331</v>
      </c>
      <c r="D803" t="s">
        <v>46</v>
      </c>
      <c r="E803" t="s">
        <v>55</v>
      </c>
      <c r="F803" t="s">
        <v>18</v>
      </c>
      <c r="G803" t="s">
        <v>76</v>
      </c>
      <c r="H803">
        <v>9</v>
      </c>
      <c r="I803" s="3">
        <v>2500</v>
      </c>
      <c r="J803" s="3">
        <v>3600</v>
      </c>
      <c r="K803" s="3">
        <v>32400</v>
      </c>
      <c r="L803" s="3">
        <v>22500</v>
      </c>
      <c r="M803" s="3">
        <v>9900</v>
      </c>
      <c r="N803" s="5">
        <v>0.30555555555555558</v>
      </c>
    </row>
    <row r="804" spans="1:14" x14ac:dyDescent="0.3">
      <c r="A804" t="s">
        <v>991</v>
      </c>
      <c r="B804" s="2">
        <v>45779</v>
      </c>
      <c r="C804" t="s">
        <v>191</v>
      </c>
      <c r="D804" t="s">
        <v>46</v>
      </c>
      <c r="E804" t="s">
        <v>23</v>
      </c>
      <c r="F804" t="s">
        <v>47</v>
      </c>
      <c r="G804" t="s">
        <v>48</v>
      </c>
      <c r="H804">
        <v>19</v>
      </c>
      <c r="I804" s="3">
        <v>2800</v>
      </c>
      <c r="J804" s="3">
        <v>4200</v>
      </c>
      <c r="K804" s="3">
        <v>79800</v>
      </c>
      <c r="L804" s="3">
        <v>53200</v>
      </c>
      <c r="M804" s="3">
        <v>26600</v>
      </c>
      <c r="N804" s="5">
        <v>0.33333333333333331</v>
      </c>
    </row>
    <row r="805" spans="1:14" x14ac:dyDescent="0.3">
      <c r="A805" t="s">
        <v>992</v>
      </c>
      <c r="B805" s="2">
        <v>45869</v>
      </c>
      <c r="C805" t="s">
        <v>78</v>
      </c>
      <c r="D805" t="s">
        <v>35</v>
      </c>
      <c r="E805" t="s">
        <v>55</v>
      </c>
      <c r="F805" t="s">
        <v>47</v>
      </c>
      <c r="G805" t="s">
        <v>48</v>
      </c>
      <c r="H805">
        <v>2</v>
      </c>
      <c r="I805" s="3">
        <v>2800</v>
      </c>
      <c r="J805" s="3">
        <v>4200</v>
      </c>
      <c r="K805" s="3">
        <v>8400</v>
      </c>
      <c r="L805" s="3">
        <v>5600</v>
      </c>
      <c r="M805" s="3">
        <v>2800</v>
      </c>
      <c r="N805" s="5">
        <v>0.33333333333333331</v>
      </c>
    </row>
    <row r="806" spans="1:14" x14ac:dyDescent="0.3">
      <c r="A806" t="s">
        <v>993</v>
      </c>
      <c r="B806" s="2">
        <v>45797</v>
      </c>
      <c r="C806" t="s">
        <v>213</v>
      </c>
      <c r="D806" t="s">
        <v>46</v>
      </c>
      <c r="E806" t="s">
        <v>23</v>
      </c>
      <c r="F806" t="s">
        <v>18</v>
      </c>
      <c r="G806" t="s">
        <v>60</v>
      </c>
      <c r="H806">
        <v>15</v>
      </c>
      <c r="I806" s="3">
        <v>1800</v>
      </c>
      <c r="J806" s="3">
        <v>2800</v>
      </c>
      <c r="K806" s="3">
        <v>42000</v>
      </c>
      <c r="L806" s="3">
        <v>27000</v>
      </c>
      <c r="M806" s="3">
        <v>15000</v>
      </c>
      <c r="N806" s="5">
        <v>0.35714285714285721</v>
      </c>
    </row>
    <row r="807" spans="1:14" x14ac:dyDescent="0.3">
      <c r="A807" t="s">
        <v>994</v>
      </c>
      <c r="B807" s="2">
        <v>45738</v>
      </c>
      <c r="C807" t="s">
        <v>197</v>
      </c>
      <c r="D807" t="s">
        <v>40</v>
      </c>
      <c r="E807" t="s">
        <v>36</v>
      </c>
      <c r="F807" t="s">
        <v>24</v>
      </c>
      <c r="G807" t="s">
        <v>25</v>
      </c>
      <c r="H807">
        <v>9</v>
      </c>
      <c r="I807" s="3">
        <v>15000</v>
      </c>
      <c r="J807" s="3">
        <v>19500</v>
      </c>
      <c r="K807" s="3">
        <v>175500</v>
      </c>
      <c r="L807" s="3">
        <v>135000</v>
      </c>
      <c r="M807" s="3">
        <v>40500</v>
      </c>
      <c r="N807" s="5">
        <v>0.23076923076923081</v>
      </c>
    </row>
    <row r="808" spans="1:14" x14ac:dyDescent="0.3">
      <c r="A808" t="s">
        <v>995</v>
      </c>
      <c r="B808" s="2">
        <v>45837</v>
      </c>
      <c r="C808" t="s">
        <v>136</v>
      </c>
      <c r="D808" t="s">
        <v>22</v>
      </c>
      <c r="E808" t="s">
        <v>55</v>
      </c>
      <c r="F808" t="s">
        <v>18</v>
      </c>
      <c r="G808" t="s">
        <v>72</v>
      </c>
      <c r="H808">
        <v>8</v>
      </c>
      <c r="I808" s="3">
        <v>900</v>
      </c>
      <c r="J808" s="3">
        <v>1500</v>
      </c>
      <c r="K808" s="3">
        <v>12000</v>
      </c>
      <c r="L808" s="3">
        <v>7200</v>
      </c>
      <c r="M808" s="3">
        <v>4800</v>
      </c>
      <c r="N808" s="5">
        <v>0.4</v>
      </c>
    </row>
    <row r="809" spans="1:14" x14ac:dyDescent="0.3">
      <c r="A809" t="s">
        <v>996</v>
      </c>
      <c r="B809" s="2">
        <v>46002</v>
      </c>
      <c r="C809" t="s">
        <v>149</v>
      </c>
      <c r="D809" t="s">
        <v>46</v>
      </c>
      <c r="E809" t="s">
        <v>28</v>
      </c>
      <c r="F809" t="s">
        <v>18</v>
      </c>
      <c r="G809" t="s">
        <v>19</v>
      </c>
      <c r="H809">
        <v>1</v>
      </c>
      <c r="I809" s="3">
        <v>1800</v>
      </c>
      <c r="J809" s="3">
        <v>2600</v>
      </c>
      <c r="K809" s="3">
        <v>2600</v>
      </c>
      <c r="L809" s="3">
        <v>1800</v>
      </c>
      <c r="M809" s="3">
        <v>800</v>
      </c>
      <c r="N809" s="5">
        <v>0.30769230769230771</v>
      </c>
    </row>
    <row r="810" spans="1:14" x14ac:dyDescent="0.3">
      <c r="A810" t="s">
        <v>997</v>
      </c>
      <c r="B810" s="2">
        <v>45919</v>
      </c>
      <c r="C810" t="s">
        <v>643</v>
      </c>
      <c r="D810" t="s">
        <v>46</v>
      </c>
      <c r="E810" t="s">
        <v>28</v>
      </c>
      <c r="F810" t="s">
        <v>24</v>
      </c>
      <c r="G810" t="s">
        <v>25</v>
      </c>
      <c r="H810">
        <v>8</v>
      </c>
      <c r="I810" s="3">
        <v>15000</v>
      </c>
      <c r="J810" s="3">
        <v>19500</v>
      </c>
      <c r="K810" s="3">
        <v>156000</v>
      </c>
      <c r="L810" s="3">
        <v>120000</v>
      </c>
      <c r="M810" s="3">
        <v>36000</v>
      </c>
      <c r="N810" s="5">
        <v>0.23076923076923081</v>
      </c>
    </row>
    <row r="811" spans="1:14" x14ac:dyDescent="0.3">
      <c r="A811" t="s">
        <v>998</v>
      </c>
      <c r="B811" s="2">
        <v>45932</v>
      </c>
      <c r="C811" t="s">
        <v>545</v>
      </c>
      <c r="D811" t="s">
        <v>35</v>
      </c>
      <c r="E811" t="s">
        <v>32</v>
      </c>
      <c r="F811" t="s">
        <v>24</v>
      </c>
      <c r="G811" t="s">
        <v>25</v>
      </c>
      <c r="H811">
        <v>5</v>
      </c>
      <c r="I811" s="3">
        <v>15000</v>
      </c>
      <c r="J811" s="3">
        <v>19500</v>
      </c>
      <c r="K811" s="3">
        <v>97500</v>
      </c>
      <c r="L811" s="3">
        <v>75000</v>
      </c>
      <c r="M811" s="3">
        <v>22500</v>
      </c>
      <c r="N811" s="5">
        <v>0.23076923076923081</v>
      </c>
    </row>
    <row r="812" spans="1:14" x14ac:dyDescent="0.3">
      <c r="A812" t="s">
        <v>999</v>
      </c>
      <c r="B812" s="2">
        <v>45695</v>
      </c>
      <c r="C812" t="s">
        <v>609</v>
      </c>
      <c r="D812" t="s">
        <v>40</v>
      </c>
      <c r="E812" t="s">
        <v>23</v>
      </c>
      <c r="F812" t="s">
        <v>24</v>
      </c>
      <c r="G812" t="s">
        <v>63</v>
      </c>
      <c r="H812">
        <v>8</v>
      </c>
      <c r="I812" s="3">
        <v>42000</v>
      </c>
      <c r="J812" s="3">
        <v>55000</v>
      </c>
      <c r="K812" s="3">
        <v>440000</v>
      </c>
      <c r="L812" s="3">
        <v>336000</v>
      </c>
      <c r="M812" s="3">
        <v>104000</v>
      </c>
      <c r="N812" s="5">
        <v>0.23636363636363639</v>
      </c>
    </row>
    <row r="813" spans="1:14" x14ac:dyDescent="0.3">
      <c r="A813" t="s">
        <v>1000</v>
      </c>
      <c r="B813" s="2">
        <v>45786</v>
      </c>
      <c r="C813" t="s">
        <v>433</v>
      </c>
      <c r="D813" t="s">
        <v>16</v>
      </c>
      <c r="E813" t="s">
        <v>23</v>
      </c>
      <c r="F813" t="s">
        <v>18</v>
      </c>
      <c r="G813" t="s">
        <v>19</v>
      </c>
      <c r="H813">
        <v>5</v>
      </c>
      <c r="I813" s="3">
        <v>1800</v>
      </c>
      <c r="J813" s="3">
        <v>2600</v>
      </c>
      <c r="K813" s="3">
        <v>13000</v>
      </c>
      <c r="L813" s="3">
        <v>9000</v>
      </c>
      <c r="M813" s="3">
        <v>4000</v>
      </c>
      <c r="N813" s="5">
        <v>0.30769230769230771</v>
      </c>
    </row>
    <row r="814" spans="1:14" x14ac:dyDescent="0.3">
      <c r="A814" t="s">
        <v>1001</v>
      </c>
      <c r="B814" s="2">
        <v>45912</v>
      </c>
      <c r="C814" t="s">
        <v>349</v>
      </c>
      <c r="D814" t="s">
        <v>22</v>
      </c>
      <c r="E814" t="s">
        <v>28</v>
      </c>
      <c r="F814" t="s">
        <v>41</v>
      </c>
      <c r="G814" t="s">
        <v>42</v>
      </c>
      <c r="H814">
        <v>2</v>
      </c>
      <c r="I814" s="3">
        <v>8500</v>
      </c>
      <c r="J814" s="3">
        <v>12000</v>
      </c>
      <c r="K814" s="3">
        <v>24000</v>
      </c>
      <c r="L814" s="3">
        <v>17000</v>
      </c>
      <c r="M814" s="3">
        <v>7000</v>
      </c>
      <c r="N814" s="5">
        <v>0.29166666666666669</v>
      </c>
    </row>
    <row r="815" spans="1:14" x14ac:dyDescent="0.3">
      <c r="A815" t="s">
        <v>1002</v>
      </c>
      <c r="B815" s="2">
        <v>45909</v>
      </c>
      <c r="C815" t="s">
        <v>165</v>
      </c>
      <c r="D815" t="s">
        <v>40</v>
      </c>
      <c r="E815" t="s">
        <v>36</v>
      </c>
      <c r="F815" t="s">
        <v>18</v>
      </c>
      <c r="G815" t="s">
        <v>76</v>
      </c>
      <c r="H815">
        <v>17</v>
      </c>
      <c r="I815" s="3">
        <v>2500</v>
      </c>
      <c r="J815" s="3">
        <v>3600</v>
      </c>
      <c r="K815" s="3">
        <v>61200</v>
      </c>
      <c r="L815" s="3">
        <v>42500</v>
      </c>
      <c r="M815" s="3">
        <v>18700</v>
      </c>
      <c r="N815" s="5">
        <v>0.30555555555555558</v>
      </c>
    </row>
    <row r="816" spans="1:14" x14ac:dyDescent="0.3">
      <c r="A816" t="s">
        <v>1003</v>
      </c>
      <c r="B816" s="2">
        <v>45873</v>
      </c>
      <c r="C816" t="s">
        <v>191</v>
      </c>
      <c r="D816" t="s">
        <v>35</v>
      </c>
      <c r="E816" t="s">
        <v>28</v>
      </c>
      <c r="F816" t="s">
        <v>18</v>
      </c>
      <c r="G816" t="s">
        <v>60</v>
      </c>
      <c r="H816">
        <v>8</v>
      </c>
      <c r="I816" s="3">
        <v>1800</v>
      </c>
      <c r="J816" s="3">
        <v>2800</v>
      </c>
      <c r="K816" s="3">
        <v>22400</v>
      </c>
      <c r="L816" s="3">
        <v>14400</v>
      </c>
      <c r="M816" s="3">
        <v>8000</v>
      </c>
      <c r="N816" s="5">
        <v>0.35714285714285721</v>
      </c>
    </row>
    <row r="817" spans="1:14" x14ac:dyDescent="0.3">
      <c r="A817" t="s">
        <v>1004</v>
      </c>
      <c r="B817" s="2">
        <v>45948</v>
      </c>
      <c r="C817" t="s">
        <v>461</v>
      </c>
      <c r="D817" t="s">
        <v>16</v>
      </c>
      <c r="E817" t="s">
        <v>17</v>
      </c>
      <c r="F817" t="s">
        <v>24</v>
      </c>
      <c r="G817" t="s">
        <v>25</v>
      </c>
      <c r="H817">
        <v>15</v>
      </c>
      <c r="I817" s="3">
        <v>15000</v>
      </c>
      <c r="J817" s="3">
        <v>19500</v>
      </c>
      <c r="K817" s="3">
        <v>292500</v>
      </c>
      <c r="L817" s="3">
        <v>225000</v>
      </c>
      <c r="M817" s="3">
        <v>67500</v>
      </c>
      <c r="N817" s="5">
        <v>0.23076923076923081</v>
      </c>
    </row>
    <row r="818" spans="1:14" x14ac:dyDescent="0.3">
      <c r="A818" t="s">
        <v>1005</v>
      </c>
      <c r="B818" s="2">
        <v>45868</v>
      </c>
      <c r="C818" t="s">
        <v>578</v>
      </c>
      <c r="D818" t="s">
        <v>35</v>
      </c>
      <c r="E818" t="s">
        <v>23</v>
      </c>
      <c r="F818" t="s">
        <v>18</v>
      </c>
      <c r="G818" t="s">
        <v>72</v>
      </c>
      <c r="H818">
        <v>11</v>
      </c>
      <c r="I818" s="3">
        <v>900</v>
      </c>
      <c r="J818" s="3">
        <v>1500</v>
      </c>
      <c r="K818" s="3">
        <v>16500</v>
      </c>
      <c r="L818" s="3">
        <v>9900</v>
      </c>
      <c r="M818" s="3">
        <v>6600</v>
      </c>
      <c r="N818" s="5">
        <v>0.4</v>
      </c>
    </row>
    <row r="819" spans="1:14" x14ac:dyDescent="0.3">
      <c r="A819" t="s">
        <v>1006</v>
      </c>
      <c r="B819" s="2">
        <v>45842</v>
      </c>
      <c r="C819" t="s">
        <v>349</v>
      </c>
      <c r="D819" t="s">
        <v>46</v>
      </c>
      <c r="E819" t="s">
        <v>55</v>
      </c>
      <c r="F819" t="s">
        <v>24</v>
      </c>
      <c r="G819" t="s">
        <v>29</v>
      </c>
      <c r="H819">
        <v>17</v>
      </c>
      <c r="I819" s="3">
        <v>12000</v>
      </c>
      <c r="J819" s="3">
        <v>16500</v>
      </c>
      <c r="K819" s="3">
        <v>280500</v>
      </c>
      <c r="L819" s="3">
        <v>204000</v>
      </c>
      <c r="M819" s="3">
        <v>76500</v>
      </c>
      <c r="N819" s="5">
        <v>0.27272727272727271</v>
      </c>
    </row>
    <row r="820" spans="1:14" x14ac:dyDescent="0.3">
      <c r="A820" t="s">
        <v>1007</v>
      </c>
      <c r="B820" s="2">
        <v>46014</v>
      </c>
      <c r="C820" t="s">
        <v>272</v>
      </c>
      <c r="D820" t="s">
        <v>35</v>
      </c>
      <c r="E820" t="s">
        <v>55</v>
      </c>
      <c r="F820" t="s">
        <v>18</v>
      </c>
      <c r="G820" t="s">
        <v>19</v>
      </c>
      <c r="H820">
        <v>2</v>
      </c>
      <c r="I820" s="3">
        <v>1800</v>
      </c>
      <c r="J820" s="3">
        <v>2600</v>
      </c>
      <c r="K820" s="3">
        <v>5200</v>
      </c>
      <c r="L820" s="3">
        <v>3600</v>
      </c>
      <c r="M820" s="3">
        <v>1600</v>
      </c>
      <c r="N820" s="5">
        <v>0.30769230769230771</v>
      </c>
    </row>
    <row r="821" spans="1:14" x14ac:dyDescent="0.3">
      <c r="A821" t="s">
        <v>1008</v>
      </c>
      <c r="B821" s="2">
        <v>45924</v>
      </c>
      <c r="C821" t="s">
        <v>319</v>
      </c>
      <c r="D821" t="s">
        <v>16</v>
      </c>
      <c r="E821" t="s">
        <v>23</v>
      </c>
      <c r="F821" t="s">
        <v>18</v>
      </c>
      <c r="G821" t="s">
        <v>60</v>
      </c>
      <c r="H821">
        <v>9</v>
      </c>
      <c r="I821" s="3">
        <v>1800</v>
      </c>
      <c r="J821" s="3">
        <v>2800</v>
      </c>
      <c r="K821" s="3">
        <v>25200</v>
      </c>
      <c r="L821" s="3">
        <v>16200</v>
      </c>
      <c r="M821" s="3">
        <v>9000</v>
      </c>
      <c r="N821" s="5">
        <v>0.35714285714285721</v>
      </c>
    </row>
    <row r="822" spans="1:14" x14ac:dyDescent="0.3">
      <c r="A822" t="s">
        <v>1009</v>
      </c>
      <c r="B822" s="2">
        <v>45846</v>
      </c>
      <c r="C822" t="s">
        <v>259</v>
      </c>
      <c r="D822" t="s">
        <v>16</v>
      </c>
      <c r="E822" t="s">
        <v>23</v>
      </c>
      <c r="F822" t="s">
        <v>18</v>
      </c>
      <c r="G822" t="s">
        <v>72</v>
      </c>
      <c r="H822">
        <v>1</v>
      </c>
      <c r="I822" s="3">
        <v>900</v>
      </c>
      <c r="J822" s="3">
        <v>1500</v>
      </c>
      <c r="K822" s="3">
        <v>1500</v>
      </c>
      <c r="L822" s="3">
        <v>900</v>
      </c>
      <c r="M822" s="3">
        <v>600</v>
      </c>
      <c r="N822" s="5">
        <v>0.4</v>
      </c>
    </row>
    <row r="823" spans="1:14" x14ac:dyDescent="0.3">
      <c r="A823" t="s">
        <v>1010</v>
      </c>
      <c r="B823" s="2">
        <v>45801</v>
      </c>
      <c r="C823" t="s">
        <v>493</v>
      </c>
      <c r="D823" t="s">
        <v>35</v>
      </c>
      <c r="E823" t="s">
        <v>28</v>
      </c>
      <c r="F823" t="s">
        <v>18</v>
      </c>
      <c r="G823" t="s">
        <v>19</v>
      </c>
      <c r="H823">
        <v>16</v>
      </c>
      <c r="I823" s="3">
        <v>1800</v>
      </c>
      <c r="J823" s="3">
        <v>2600</v>
      </c>
      <c r="K823" s="3">
        <v>41600</v>
      </c>
      <c r="L823" s="3">
        <v>28800</v>
      </c>
      <c r="M823" s="3">
        <v>12800</v>
      </c>
      <c r="N823" s="5">
        <v>0.30769230769230771</v>
      </c>
    </row>
    <row r="824" spans="1:14" x14ac:dyDescent="0.3">
      <c r="A824" t="s">
        <v>1011</v>
      </c>
      <c r="B824" s="2">
        <v>45805</v>
      </c>
      <c r="C824" t="s">
        <v>75</v>
      </c>
      <c r="D824" t="s">
        <v>22</v>
      </c>
      <c r="E824" t="s">
        <v>32</v>
      </c>
      <c r="F824" t="s">
        <v>47</v>
      </c>
      <c r="G824" t="s">
        <v>48</v>
      </c>
      <c r="H824">
        <v>11</v>
      </c>
      <c r="I824" s="3">
        <v>2800</v>
      </c>
      <c r="J824" s="3">
        <v>4200</v>
      </c>
      <c r="K824" s="3">
        <v>46200</v>
      </c>
      <c r="L824" s="3">
        <v>30800</v>
      </c>
      <c r="M824" s="3">
        <v>15400</v>
      </c>
      <c r="N824" s="5">
        <v>0.33333333333333331</v>
      </c>
    </row>
    <row r="825" spans="1:14" x14ac:dyDescent="0.3">
      <c r="A825" t="s">
        <v>1012</v>
      </c>
      <c r="B825" s="2">
        <v>45927</v>
      </c>
      <c r="C825" t="s">
        <v>15</v>
      </c>
      <c r="D825" t="s">
        <v>22</v>
      </c>
      <c r="E825" t="s">
        <v>55</v>
      </c>
      <c r="F825" t="s">
        <v>24</v>
      </c>
      <c r="G825" t="s">
        <v>63</v>
      </c>
      <c r="H825">
        <v>10</v>
      </c>
      <c r="I825" s="3">
        <v>42000</v>
      </c>
      <c r="J825" s="3">
        <v>55000</v>
      </c>
      <c r="K825" s="3">
        <v>550000</v>
      </c>
      <c r="L825" s="3">
        <v>420000</v>
      </c>
      <c r="M825" s="3">
        <v>130000</v>
      </c>
      <c r="N825" s="5">
        <v>0.23636363636363639</v>
      </c>
    </row>
    <row r="826" spans="1:14" x14ac:dyDescent="0.3">
      <c r="A826" t="s">
        <v>1013</v>
      </c>
      <c r="B826" s="2">
        <v>45659</v>
      </c>
      <c r="C826" t="s">
        <v>75</v>
      </c>
      <c r="D826" t="s">
        <v>16</v>
      </c>
      <c r="E826" t="s">
        <v>55</v>
      </c>
      <c r="F826" t="s">
        <v>47</v>
      </c>
      <c r="G826" t="s">
        <v>48</v>
      </c>
      <c r="H826">
        <v>16</v>
      </c>
      <c r="I826" s="3">
        <v>2800</v>
      </c>
      <c r="J826" s="3">
        <v>4200</v>
      </c>
      <c r="K826" s="3">
        <v>67200</v>
      </c>
      <c r="L826" s="3">
        <v>44800</v>
      </c>
      <c r="M826" s="3">
        <v>22400</v>
      </c>
      <c r="N826" s="5">
        <v>0.33333333333333331</v>
      </c>
    </row>
    <row r="827" spans="1:14" x14ac:dyDescent="0.3">
      <c r="A827" t="s">
        <v>1014</v>
      </c>
      <c r="B827" s="2">
        <v>45970</v>
      </c>
      <c r="C827" t="s">
        <v>89</v>
      </c>
      <c r="D827" t="s">
        <v>35</v>
      </c>
      <c r="E827" t="s">
        <v>28</v>
      </c>
      <c r="F827" t="s">
        <v>18</v>
      </c>
      <c r="G827" t="s">
        <v>76</v>
      </c>
      <c r="H827">
        <v>9</v>
      </c>
      <c r="I827" s="3">
        <v>2500</v>
      </c>
      <c r="J827" s="3">
        <v>3600</v>
      </c>
      <c r="K827" s="3">
        <v>32400</v>
      </c>
      <c r="L827" s="3">
        <v>22500</v>
      </c>
      <c r="M827" s="3">
        <v>9900</v>
      </c>
      <c r="N827" s="5">
        <v>0.30555555555555558</v>
      </c>
    </row>
    <row r="828" spans="1:14" x14ac:dyDescent="0.3">
      <c r="A828" t="s">
        <v>1015</v>
      </c>
      <c r="B828" s="2">
        <v>45887</v>
      </c>
      <c r="C828" t="s">
        <v>151</v>
      </c>
      <c r="D828" t="s">
        <v>40</v>
      </c>
      <c r="E828" t="s">
        <v>17</v>
      </c>
      <c r="F828" t="s">
        <v>24</v>
      </c>
      <c r="G828" t="s">
        <v>25</v>
      </c>
      <c r="H828">
        <v>6</v>
      </c>
      <c r="I828" s="3">
        <v>15000</v>
      </c>
      <c r="J828" s="3">
        <v>19500</v>
      </c>
      <c r="K828" s="3">
        <v>117000</v>
      </c>
      <c r="L828" s="3">
        <v>90000</v>
      </c>
      <c r="M828" s="3">
        <v>27000</v>
      </c>
      <c r="N828" s="5">
        <v>0.23076923076923081</v>
      </c>
    </row>
    <row r="829" spans="1:14" x14ac:dyDescent="0.3">
      <c r="A829" t="s">
        <v>1016</v>
      </c>
      <c r="B829" s="2">
        <v>45984</v>
      </c>
      <c r="C829" t="s">
        <v>128</v>
      </c>
      <c r="D829" t="s">
        <v>40</v>
      </c>
      <c r="E829" t="s">
        <v>36</v>
      </c>
      <c r="F829" t="s">
        <v>41</v>
      </c>
      <c r="G829" t="s">
        <v>42</v>
      </c>
      <c r="H829">
        <v>4</v>
      </c>
      <c r="I829" s="3">
        <v>8500</v>
      </c>
      <c r="J829" s="3">
        <v>12000</v>
      </c>
      <c r="K829" s="3">
        <v>48000</v>
      </c>
      <c r="L829" s="3">
        <v>34000</v>
      </c>
      <c r="M829" s="3">
        <v>14000</v>
      </c>
      <c r="N829" s="5">
        <v>0.29166666666666669</v>
      </c>
    </row>
    <row r="830" spans="1:14" x14ac:dyDescent="0.3">
      <c r="A830" t="s">
        <v>1017</v>
      </c>
      <c r="B830" s="2">
        <v>45894</v>
      </c>
      <c r="C830" t="s">
        <v>50</v>
      </c>
      <c r="D830" t="s">
        <v>16</v>
      </c>
      <c r="E830" t="s">
        <v>55</v>
      </c>
      <c r="F830" t="s">
        <v>18</v>
      </c>
      <c r="G830" t="s">
        <v>60</v>
      </c>
      <c r="H830">
        <v>19</v>
      </c>
      <c r="I830" s="3">
        <v>1800</v>
      </c>
      <c r="J830" s="3">
        <v>2800</v>
      </c>
      <c r="K830" s="3">
        <v>53200</v>
      </c>
      <c r="L830" s="3">
        <v>34200</v>
      </c>
      <c r="M830" s="3">
        <v>19000</v>
      </c>
      <c r="N830" s="5">
        <v>0.35714285714285721</v>
      </c>
    </row>
    <row r="831" spans="1:14" x14ac:dyDescent="0.3">
      <c r="A831" t="s">
        <v>1018</v>
      </c>
      <c r="B831" s="2">
        <v>46001</v>
      </c>
      <c r="C831" t="s">
        <v>493</v>
      </c>
      <c r="D831" t="s">
        <v>46</v>
      </c>
      <c r="E831" t="s">
        <v>17</v>
      </c>
      <c r="F831" t="s">
        <v>24</v>
      </c>
      <c r="G831" t="s">
        <v>25</v>
      </c>
      <c r="H831">
        <v>16</v>
      </c>
      <c r="I831" s="3">
        <v>15000</v>
      </c>
      <c r="J831" s="3">
        <v>19500</v>
      </c>
      <c r="K831" s="3">
        <v>312000</v>
      </c>
      <c r="L831" s="3">
        <v>240000</v>
      </c>
      <c r="M831" s="3">
        <v>72000</v>
      </c>
      <c r="N831" s="5">
        <v>0.23076923076923081</v>
      </c>
    </row>
    <row r="832" spans="1:14" x14ac:dyDescent="0.3">
      <c r="A832" t="s">
        <v>1019</v>
      </c>
      <c r="B832" s="2">
        <v>45701</v>
      </c>
      <c r="C832" t="s">
        <v>612</v>
      </c>
      <c r="D832" t="s">
        <v>16</v>
      </c>
      <c r="E832" t="s">
        <v>32</v>
      </c>
      <c r="F832" t="s">
        <v>18</v>
      </c>
      <c r="G832" t="s">
        <v>76</v>
      </c>
      <c r="H832">
        <v>16</v>
      </c>
      <c r="I832" s="3">
        <v>2500</v>
      </c>
      <c r="J832" s="3">
        <v>3600</v>
      </c>
      <c r="K832" s="3">
        <v>57600</v>
      </c>
      <c r="L832" s="3">
        <v>40000</v>
      </c>
      <c r="M832" s="3">
        <v>17600</v>
      </c>
      <c r="N832" s="5">
        <v>0.30555555555555558</v>
      </c>
    </row>
    <row r="833" spans="1:14" x14ac:dyDescent="0.3">
      <c r="A833" t="s">
        <v>1020</v>
      </c>
      <c r="B833" s="2">
        <v>45901</v>
      </c>
      <c r="C833" t="s">
        <v>161</v>
      </c>
      <c r="D833" t="s">
        <v>16</v>
      </c>
      <c r="E833" t="s">
        <v>55</v>
      </c>
      <c r="F833" t="s">
        <v>24</v>
      </c>
      <c r="G833" t="s">
        <v>63</v>
      </c>
      <c r="H833">
        <v>17</v>
      </c>
      <c r="I833" s="3">
        <v>42000</v>
      </c>
      <c r="J833" s="3">
        <v>55000</v>
      </c>
      <c r="K833" s="3">
        <v>935000</v>
      </c>
      <c r="L833" s="3">
        <v>714000</v>
      </c>
      <c r="M833" s="3">
        <v>221000</v>
      </c>
      <c r="N833" s="5">
        <v>0.23636363636363639</v>
      </c>
    </row>
    <row r="834" spans="1:14" x14ac:dyDescent="0.3">
      <c r="A834" t="s">
        <v>1021</v>
      </c>
      <c r="B834" s="2">
        <v>45921</v>
      </c>
      <c r="C834" t="s">
        <v>245</v>
      </c>
      <c r="D834" t="s">
        <v>46</v>
      </c>
      <c r="E834" t="s">
        <v>36</v>
      </c>
      <c r="F834" t="s">
        <v>24</v>
      </c>
      <c r="G834" t="s">
        <v>25</v>
      </c>
      <c r="H834">
        <v>16</v>
      </c>
      <c r="I834" s="3">
        <v>15000</v>
      </c>
      <c r="J834" s="3">
        <v>19500</v>
      </c>
      <c r="K834" s="3">
        <v>312000</v>
      </c>
      <c r="L834" s="3">
        <v>240000</v>
      </c>
      <c r="M834" s="3">
        <v>72000</v>
      </c>
      <c r="N834" s="5">
        <v>0.23076923076923081</v>
      </c>
    </row>
    <row r="835" spans="1:14" x14ac:dyDescent="0.3">
      <c r="A835" t="s">
        <v>1022</v>
      </c>
      <c r="B835" s="2">
        <v>45922</v>
      </c>
      <c r="C835" t="s">
        <v>200</v>
      </c>
      <c r="D835" t="s">
        <v>22</v>
      </c>
      <c r="E835" t="s">
        <v>36</v>
      </c>
      <c r="F835" t="s">
        <v>24</v>
      </c>
      <c r="G835" t="s">
        <v>63</v>
      </c>
      <c r="H835">
        <v>20</v>
      </c>
      <c r="I835" s="3">
        <v>42000</v>
      </c>
      <c r="J835" s="3">
        <v>55000</v>
      </c>
      <c r="K835" s="3">
        <v>1100000</v>
      </c>
      <c r="L835" s="3">
        <v>840000</v>
      </c>
      <c r="M835" s="3">
        <v>260000</v>
      </c>
      <c r="N835" s="5">
        <v>0.23636363636363639</v>
      </c>
    </row>
    <row r="836" spans="1:14" x14ac:dyDescent="0.3">
      <c r="A836" t="s">
        <v>1023</v>
      </c>
      <c r="B836" s="2">
        <v>45836</v>
      </c>
      <c r="C836" t="s">
        <v>112</v>
      </c>
      <c r="D836" t="s">
        <v>22</v>
      </c>
      <c r="E836" t="s">
        <v>23</v>
      </c>
      <c r="F836" t="s">
        <v>18</v>
      </c>
      <c r="G836" t="s">
        <v>72</v>
      </c>
      <c r="H836">
        <v>12</v>
      </c>
      <c r="I836" s="3">
        <v>900</v>
      </c>
      <c r="J836" s="3">
        <v>1500</v>
      </c>
      <c r="K836" s="3">
        <v>18000</v>
      </c>
      <c r="L836" s="3">
        <v>10800</v>
      </c>
      <c r="M836" s="3">
        <v>7200</v>
      </c>
      <c r="N836" s="5">
        <v>0.4</v>
      </c>
    </row>
    <row r="837" spans="1:14" x14ac:dyDescent="0.3">
      <c r="A837" t="s">
        <v>1024</v>
      </c>
      <c r="B837" s="2">
        <v>45960</v>
      </c>
      <c r="C837" t="s">
        <v>545</v>
      </c>
      <c r="D837" t="s">
        <v>40</v>
      </c>
      <c r="E837" t="s">
        <v>28</v>
      </c>
      <c r="F837" t="s">
        <v>24</v>
      </c>
      <c r="G837" t="s">
        <v>29</v>
      </c>
      <c r="H837">
        <v>20</v>
      </c>
      <c r="I837" s="3">
        <v>12000</v>
      </c>
      <c r="J837" s="3">
        <v>16500</v>
      </c>
      <c r="K837" s="3">
        <v>330000</v>
      </c>
      <c r="L837" s="3">
        <v>240000</v>
      </c>
      <c r="M837" s="3">
        <v>90000</v>
      </c>
      <c r="N837" s="5">
        <v>0.27272727272727271</v>
      </c>
    </row>
    <row r="838" spans="1:14" x14ac:dyDescent="0.3">
      <c r="A838" t="s">
        <v>1025</v>
      </c>
      <c r="B838" s="2">
        <v>46015</v>
      </c>
      <c r="C838" t="s">
        <v>69</v>
      </c>
      <c r="D838" t="s">
        <v>35</v>
      </c>
      <c r="E838" t="s">
        <v>55</v>
      </c>
      <c r="F838" t="s">
        <v>18</v>
      </c>
      <c r="G838" t="s">
        <v>60</v>
      </c>
      <c r="H838">
        <v>10</v>
      </c>
      <c r="I838" s="3">
        <v>1800</v>
      </c>
      <c r="J838" s="3">
        <v>2800</v>
      </c>
      <c r="K838" s="3">
        <v>28000</v>
      </c>
      <c r="L838" s="3">
        <v>18000</v>
      </c>
      <c r="M838" s="3">
        <v>10000</v>
      </c>
      <c r="N838" s="5">
        <v>0.35714285714285721</v>
      </c>
    </row>
    <row r="839" spans="1:14" x14ac:dyDescent="0.3">
      <c r="A839" t="s">
        <v>1026</v>
      </c>
      <c r="B839" s="2">
        <v>45981</v>
      </c>
      <c r="C839" t="s">
        <v>270</v>
      </c>
      <c r="D839" t="s">
        <v>22</v>
      </c>
      <c r="E839" t="s">
        <v>23</v>
      </c>
      <c r="F839" t="s">
        <v>18</v>
      </c>
      <c r="G839" t="s">
        <v>37</v>
      </c>
      <c r="H839">
        <v>13</v>
      </c>
      <c r="I839" s="3">
        <v>400</v>
      </c>
      <c r="J839" s="3">
        <v>650</v>
      </c>
      <c r="K839" s="3">
        <v>8450</v>
      </c>
      <c r="L839" s="3">
        <v>5200</v>
      </c>
      <c r="M839" s="3">
        <v>3250</v>
      </c>
      <c r="N839" s="5">
        <v>0.38461538461538458</v>
      </c>
    </row>
    <row r="840" spans="1:14" x14ac:dyDescent="0.3">
      <c r="A840" t="s">
        <v>1027</v>
      </c>
      <c r="B840" s="2">
        <v>45731</v>
      </c>
      <c r="C840" t="s">
        <v>325</v>
      </c>
      <c r="D840" t="s">
        <v>22</v>
      </c>
      <c r="E840" t="s">
        <v>28</v>
      </c>
      <c r="F840" t="s">
        <v>41</v>
      </c>
      <c r="G840" t="s">
        <v>42</v>
      </c>
      <c r="H840">
        <v>10</v>
      </c>
      <c r="I840" s="3">
        <v>8500</v>
      </c>
      <c r="J840" s="3">
        <v>12000</v>
      </c>
      <c r="K840" s="3">
        <v>120000</v>
      </c>
      <c r="L840" s="3">
        <v>85000</v>
      </c>
      <c r="M840" s="3">
        <v>35000</v>
      </c>
      <c r="N840" s="5">
        <v>0.29166666666666669</v>
      </c>
    </row>
    <row r="841" spans="1:14" x14ac:dyDescent="0.3">
      <c r="A841" t="s">
        <v>1028</v>
      </c>
      <c r="B841" s="2">
        <v>45797</v>
      </c>
      <c r="C841" t="s">
        <v>719</v>
      </c>
      <c r="D841" t="s">
        <v>16</v>
      </c>
      <c r="E841" t="s">
        <v>32</v>
      </c>
      <c r="F841" t="s">
        <v>18</v>
      </c>
      <c r="G841" t="s">
        <v>60</v>
      </c>
      <c r="H841">
        <v>8</v>
      </c>
      <c r="I841" s="3">
        <v>1800</v>
      </c>
      <c r="J841" s="3">
        <v>2800</v>
      </c>
      <c r="K841" s="3">
        <v>22400</v>
      </c>
      <c r="L841" s="3">
        <v>14400</v>
      </c>
      <c r="M841" s="3">
        <v>8000</v>
      </c>
      <c r="N841" s="5">
        <v>0.35714285714285721</v>
      </c>
    </row>
    <row r="842" spans="1:14" x14ac:dyDescent="0.3">
      <c r="A842" t="s">
        <v>1029</v>
      </c>
      <c r="B842" s="2">
        <v>45956</v>
      </c>
      <c r="C842" t="s">
        <v>108</v>
      </c>
      <c r="D842" t="s">
        <v>40</v>
      </c>
      <c r="E842" t="s">
        <v>32</v>
      </c>
      <c r="F842" t="s">
        <v>24</v>
      </c>
      <c r="G842" t="s">
        <v>29</v>
      </c>
      <c r="H842">
        <v>14</v>
      </c>
      <c r="I842" s="3">
        <v>12000</v>
      </c>
      <c r="J842" s="3">
        <v>16500</v>
      </c>
      <c r="K842" s="3">
        <v>231000</v>
      </c>
      <c r="L842" s="3">
        <v>168000</v>
      </c>
      <c r="M842" s="3">
        <v>63000</v>
      </c>
      <c r="N842" s="5">
        <v>0.27272727272727271</v>
      </c>
    </row>
    <row r="843" spans="1:14" x14ac:dyDescent="0.3">
      <c r="A843" t="s">
        <v>1030</v>
      </c>
      <c r="B843" s="2">
        <v>45700</v>
      </c>
      <c r="C843" t="s">
        <v>331</v>
      </c>
      <c r="D843" t="s">
        <v>16</v>
      </c>
      <c r="E843" t="s">
        <v>55</v>
      </c>
      <c r="F843" t="s">
        <v>18</v>
      </c>
      <c r="G843" t="s">
        <v>76</v>
      </c>
      <c r="H843">
        <v>7</v>
      </c>
      <c r="I843" s="3">
        <v>2500</v>
      </c>
      <c r="J843" s="3">
        <v>3600</v>
      </c>
      <c r="K843" s="3">
        <v>25200</v>
      </c>
      <c r="L843" s="3">
        <v>17500</v>
      </c>
      <c r="M843" s="3">
        <v>7700</v>
      </c>
      <c r="N843" s="5">
        <v>0.30555555555555558</v>
      </c>
    </row>
    <row r="844" spans="1:14" x14ac:dyDescent="0.3">
      <c r="A844" t="s">
        <v>1031</v>
      </c>
      <c r="B844" s="2">
        <v>45860</v>
      </c>
      <c r="C844" t="s">
        <v>206</v>
      </c>
      <c r="D844" t="s">
        <v>40</v>
      </c>
      <c r="E844" t="s">
        <v>23</v>
      </c>
      <c r="F844" t="s">
        <v>18</v>
      </c>
      <c r="G844" t="s">
        <v>19</v>
      </c>
      <c r="H844">
        <v>18</v>
      </c>
      <c r="I844" s="3">
        <v>1800</v>
      </c>
      <c r="J844" s="3">
        <v>2600</v>
      </c>
      <c r="K844" s="3">
        <v>46800</v>
      </c>
      <c r="L844" s="3">
        <v>32400</v>
      </c>
      <c r="M844" s="3">
        <v>14400</v>
      </c>
      <c r="N844" s="5">
        <v>0.30769230769230771</v>
      </c>
    </row>
    <row r="845" spans="1:14" x14ac:dyDescent="0.3">
      <c r="A845" t="s">
        <v>1032</v>
      </c>
      <c r="B845" s="2">
        <v>45737</v>
      </c>
      <c r="C845" t="s">
        <v>168</v>
      </c>
      <c r="D845" t="s">
        <v>16</v>
      </c>
      <c r="E845" t="s">
        <v>32</v>
      </c>
      <c r="F845" t="s">
        <v>24</v>
      </c>
      <c r="G845" t="s">
        <v>29</v>
      </c>
      <c r="H845">
        <v>4</v>
      </c>
      <c r="I845" s="3">
        <v>12000</v>
      </c>
      <c r="J845" s="3">
        <v>16500</v>
      </c>
      <c r="K845" s="3">
        <v>66000</v>
      </c>
      <c r="L845" s="3">
        <v>48000</v>
      </c>
      <c r="M845" s="3">
        <v>18000</v>
      </c>
      <c r="N845" s="5">
        <v>0.27272727272727271</v>
      </c>
    </row>
    <row r="846" spans="1:14" x14ac:dyDescent="0.3">
      <c r="A846" t="s">
        <v>1033</v>
      </c>
      <c r="B846" s="2">
        <v>46009</v>
      </c>
      <c r="C846" t="s">
        <v>200</v>
      </c>
      <c r="D846" t="s">
        <v>46</v>
      </c>
      <c r="E846" t="s">
        <v>23</v>
      </c>
      <c r="F846" t="s">
        <v>41</v>
      </c>
      <c r="G846" t="s">
        <v>42</v>
      </c>
      <c r="H846">
        <v>13</v>
      </c>
      <c r="I846" s="3">
        <v>8500</v>
      </c>
      <c r="J846" s="3">
        <v>12000</v>
      </c>
      <c r="K846" s="3">
        <v>156000</v>
      </c>
      <c r="L846" s="3">
        <v>110500</v>
      </c>
      <c r="M846" s="3">
        <v>45500</v>
      </c>
      <c r="N846" s="5">
        <v>0.29166666666666669</v>
      </c>
    </row>
    <row r="847" spans="1:14" x14ac:dyDescent="0.3">
      <c r="A847" t="s">
        <v>1034</v>
      </c>
      <c r="B847" s="2">
        <v>45856</v>
      </c>
      <c r="C847" t="s">
        <v>367</v>
      </c>
      <c r="D847" t="s">
        <v>40</v>
      </c>
      <c r="E847" t="s">
        <v>32</v>
      </c>
      <c r="F847" t="s">
        <v>47</v>
      </c>
      <c r="G847" t="s">
        <v>48</v>
      </c>
      <c r="H847">
        <v>5</v>
      </c>
      <c r="I847" s="3">
        <v>2800</v>
      </c>
      <c r="J847" s="3">
        <v>4200</v>
      </c>
      <c r="K847" s="3">
        <v>21000</v>
      </c>
      <c r="L847" s="3">
        <v>14000</v>
      </c>
      <c r="M847" s="3">
        <v>7000</v>
      </c>
      <c r="N847" s="5">
        <v>0.33333333333333331</v>
      </c>
    </row>
    <row r="848" spans="1:14" x14ac:dyDescent="0.3">
      <c r="A848" t="s">
        <v>1035</v>
      </c>
      <c r="B848" s="2">
        <v>45976</v>
      </c>
      <c r="C848" t="s">
        <v>612</v>
      </c>
      <c r="D848" t="s">
        <v>16</v>
      </c>
      <c r="E848" t="s">
        <v>55</v>
      </c>
      <c r="F848" t="s">
        <v>24</v>
      </c>
      <c r="G848" t="s">
        <v>63</v>
      </c>
      <c r="H848">
        <v>8</v>
      </c>
      <c r="I848" s="3">
        <v>42000</v>
      </c>
      <c r="J848" s="3">
        <v>55000</v>
      </c>
      <c r="K848" s="3">
        <v>440000</v>
      </c>
      <c r="L848" s="3">
        <v>336000</v>
      </c>
      <c r="M848" s="3">
        <v>104000</v>
      </c>
      <c r="N848" s="5">
        <v>0.23636363636363639</v>
      </c>
    </row>
    <row r="849" spans="1:14" x14ac:dyDescent="0.3">
      <c r="A849" t="s">
        <v>1036</v>
      </c>
      <c r="B849" s="2">
        <v>45691</v>
      </c>
      <c r="C849" t="s">
        <v>89</v>
      </c>
      <c r="D849" t="s">
        <v>46</v>
      </c>
      <c r="E849" t="s">
        <v>28</v>
      </c>
      <c r="F849" t="s">
        <v>18</v>
      </c>
      <c r="G849" t="s">
        <v>37</v>
      </c>
      <c r="H849">
        <v>6</v>
      </c>
      <c r="I849" s="3">
        <v>400</v>
      </c>
      <c r="J849" s="3">
        <v>650</v>
      </c>
      <c r="K849" s="3">
        <v>3900</v>
      </c>
      <c r="L849" s="3">
        <v>2400</v>
      </c>
      <c r="M849" s="3">
        <v>1500</v>
      </c>
      <c r="N849" s="5">
        <v>0.38461538461538458</v>
      </c>
    </row>
    <row r="850" spans="1:14" x14ac:dyDescent="0.3">
      <c r="A850" t="s">
        <v>1037</v>
      </c>
      <c r="B850" s="2">
        <v>45860</v>
      </c>
      <c r="C850" t="s">
        <v>104</v>
      </c>
      <c r="D850" t="s">
        <v>16</v>
      </c>
      <c r="E850" t="s">
        <v>32</v>
      </c>
      <c r="F850" t="s">
        <v>24</v>
      </c>
      <c r="G850" t="s">
        <v>29</v>
      </c>
      <c r="H850">
        <v>20</v>
      </c>
      <c r="I850" s="3">
        <v>12000</v>
      </c>
      <c r="J850" s="3">
        <v>16500</v>
      </c>
      <c r="K850" s="3">
        <v>330000</v>
      </c>
      <c r="L850" s="3">
        <v>240000</v>
      </c>
      <c r="M850" s="3">
        <v>90000</v>
      </c>
      <c r="N850" s="5">
        <v>0.27272727272727271</v>
      </c>
    </row>
    <row r="851" spans="1:14" x14ac:dyDescent="0.3">
      <c r="A851" t="s">
        <v>1038</v>
      </c>
      <c r="B851" s="2">
        <v>45830</v>
      </c>
      <c r="C851" t="s">
        <v>69</v>
      </c>
      <c r="D851" t="s">
        <v>40</v>
      </c>
      <c r="E851" t="s">
        <v>32</v>
      </c>
      <c r="F851" t="s">
        <v>41</v>
      </c>
      <c r="G851" t="s">
        <v>42</v>
      </c>
      <c r="H851">
        <v>1</v>
      </c>
      <c r="I851" s="3">
        <v>8500</v>
      </c>
      <c r="J851" s="3">
        <v>12000</v>
      </c>
      <c r="K851" s="3">
        <v>12000</v>
      </c>
      <c r="L851" s="3">
        <v>8500</v>
      </c>
      <c r="M851" s="3">
        <v>3500</v>
      </c>
      <c r="N851" s="5">
        <v>0.29166666666666669</v>
      </c>
    </row>
    <row r="852" spans="1:14" x14ac:dyDescent="0.3">
      <c r="A852" t="s">
        <v>1039</v>
      </c>
      <c r="B852" s="2">
        <v>46004</v>
      </c>
      <c r="C852" t="s">
        <v>39</v>
      </c>
      <c r="D852" t="s">
        <v>40</v>
      </c>
      <c r="E852" t="s">
        <v>36</v>
      </c>
      <c r="F852" t="s">
        <v>18</v>
      </c>
      <c r="G852" t="s">
        <v>37</v>
      </c>
      <c r="H852">
        <v>8</v>
      </c>
      <c r="I852" s="3">
        <v>400</v>
      </c>
      <c r="J852" s="3">
        <v>650</v>
      </c>
      <c r="K852" s="3">
        <v>5200</v>
      </c>
      <c r="L852" s="3">
        <v>3200</v>
      </c>
      <c r="M852" s="3">
        <v>2000</v>
      </c>
      <c r="N852" s="5">
        <v>0.38461538461538458</v>
      </c>
    </row>
    <row r="853" spans="1:14" x14ac:dyDescent="0.3">
      <c r="A853" t="s">
        <v>1040</v>
      </c>
      <c r="B853" s="2">
        <v>45911</v>
      </c>
      <c r="C853" t="s">
        <v>252</v>
      </c>
      <c r="D853" t="s">
        <v>46</v>
      </c>
      <c r="E853" t="s">
        <v>36</v>
      </c>
      <c r="F853" t="s">
        <v>47</v>
      </c>
      <c r="G853" t="s">
        <v>48</v>
      </c>
      <c r="H853">
        <v>6</v>
      </c>
      <c r="I853" s="3">
        <v>2800</v>
      </c>
      <c r="J853" s="3">
        <v>4200</v>
      </c>
      <c r="K853" s="3">
        <v>25200</v>
      </c>
      <c r="L853" s="3">
        <v>16800</v>
      </c>
      <c r="M853" s="3">
        <v>8400</v>
      </c>
      <c r="N853" s="5">
        <v>0.33333333333333331</v>
      </c>
    </row>
    <row r="854" spans="1:14" x14ac:dyDescent="0.3">
      <c r="A854" t="s">
        <v>1041</v>
      </c>
      <c r="B854" s="2">
        <v>45772</v>
      </c>
      <c r="C854" t="s">
        <v>34</v>
      </c>
      <c r="D854" t="s">
        <v>40</v>
      </c>
      <c r="E854" t="s">
        <v>55</v>
      </c>
      <c r="F854" t="s">
        <v>18</v>
      </c>
      <c r="G854" t="s">
        <v>37</v>
      </c>
      <c r="H854">
        <v>12</v>
      </c>
      <c r="I854" s="3">
        <v>400</v>
      </c>
      <c r="J854" s="3">
        <v>650</v>
      </c>
      <c r="K854" s="3">
        <v>7800</v>
      </c>
      <c r="L854" s="3">
        <v>4800</v>
      </c>
      <c r="M854" s="3">
        <v>3000</v>
      </c>
      <c r="N854" s="5">
        <v>0.38461538461538458</v>
      </c>
    </row>
    <row r="855" spans="1:14" x14ac:dyDescent="0.3">
      <c r="A855" t="s">
        <v>1042</v>
      </c>
      <c r="B855" s="2">
        <v>45841</v>
      </c>
      <c r="C855" t="s">
        <v>69</v>
      </c>
      <c r="D855" t="s">
        <v>40</v>
      </c>
      <c r="E855" t="s">
        <v>23</v>
      </c>
      <c r="F855" t="s">
        <v>24</v>
      </c>
      <c r="G855" t="s">
        <v>25</v>
      </c>
      <c r="H855">
        <v>8</v>
      </c>
      <c r="I855" s="3">
        <v>15000</v>
      </c>
      <c r="J855" s="3">
        <v>19500</v>
      </c>
      <c r="K855" s="3">
        <v>156000</v>
      </c>
      <c r="L855" s="3">
        <v>120000</v>
      </c>
      <c r="M855" s="3">
        <v>36000</v>
      </c>
      <c r="N855" s="5">
        <v>0.23076923076923081</v>
      </c>
    </row>
    <row r="856" spans="1:14" x14ac:dyDescent="0.3">
      <c r="A856" t="s">
        <v>1043</v>
      </c>
      <c r="B856" s="2">
        <v>45819</v>
      </c>
      <c r="C856" t="s">
        <v>34</v>
      </c>
      <c r="D856" t="s">
        <v>40</v>
      </c>
      <c r="E856" t="s">
        <v>32</v>
      </c>
      <c r="F856" t="s">
        <v>24</v>
      </c>
      <c r="G856" t="s">
        <v>63</v>
      </c>
      <c r="H856">
        <v>3</v>
      </c>
      <c r="I856" s="3">
        <v>42000</v>
      </c>
      <c r="J856" s="3">
        <v>55000</v>
      </c>
      <c r="K856" s="3">
        <v>165000</v>
      </c>
      <c r="L856" s="3">
        <v>126000</v>
      </c>
      <c r="M856" s="3">
        <v>39000</v>
      </c>
      <c r="N856" s="5">
        <v>0.23636363636363639</v>
      </c>
    </row>
    <row r="857" spans="1:14" x14ac:dyDescent="0.3">
      <c r="A857" t="s">
        <v>1044</v>
      </c>
      <c r="B857" s="2">
        <v>45934</v>
      </c>
      <c r="C857" t="s">
        <v>21</v>
      </c>
      <c r="D857" t="s">
        <v>35</v>
      </c>
      <c r="E857" t="s">
        <v>36</v>
      </c>
      <c r="F857" t="s">
        <v>24</v>
      </c>
      <c r="G857" t="s">
        <v>63</v>
      </c>
      <c r="H857">
        <v>7</v>
      </c>
      <c r="I857" s="3">
        <v>42000</v>
      </c>
      <c r="J857" s="3">
        <v>55000</v>
      </c>
      <c r="K857" s="3">
        <v>385000</v>
      </c>
      <c r="L857" s="3">
        <v>294000</v>
      </c>
      <c r="M857" s="3">
        <v>91000</v>
      </c>
      <c r="N857" s="5">
        <v>0.23636363636363639</v>
      </c>
    </row>
    <row r="858" spans="1:14" x14ac:dyDescent="0.3">
      <c r="A858" t="s">
        <v>1045</v>
      </c>
      <c r="B858" s="2">
        <v>45929</v>
      </c>
      <c r="C858" t="s">
        <v>188</v>
      </c>
      <c r="D858" t="s">
        <v>35</v>
      </c>
      <c r="E858" t="s">
        <v>32</v>
      </c>
      <c r="F858" t="s">
        <v>24</v>
      </c>
      <c r="G858" t="s">
        <v>25</v>
      </c>
      <c r="H858">
        <v>13</v>
      </c>
      <c r="I858" s="3">
        <v>15000</v>
      </c>
      <c r="J858" s="3">
        <v>19500</v>
      </c>
      <c r="K858" s="3">
        <v>253500</v>
      </c>
      <c r="L858" s="3">
        <v>195000</v>
      </c>
      <c r="M858" s="3">
        <v>58500</v>
      </c>
      <c r="N858" s="5">
        <v>0.23076923076923081</v>
      </c>
    </row>
    <row r="859" spans="1:14" x14ac:dyDescent="0.3">
      <c r="A859" t="s">
        <v>1046</v>
      </c>
      <c r="B859" s="2">
        <v>45685</v>
      </c>
      <c r="C859" t="s">
        <v>294</v>
      </c>
      <c r="D859" t="s">
        <v>22</v>
      </c>
      <c r="E859" t="s">
        <v>28</v>
      </c>
      <c r="F859" t="s">
        <v>18</v>
      </c>
      <c r="G859" t="s">
        <v>76</v>
      </c>
      <c r="H859">
        <v>9</v>
      </c>
      <c r="I859" s="3">
        <v>2500</v>
      </c>
      <c r="J859" s="3">
        <v>3600</v>
      </c>
      <c r="K859" s="3">
        <v>32400</v>
      </c>
      <c r="L859" s="3">
        <v>22500</v>
      </c>
      <c r="M859" s="3">
        <v>9900</v>
      </c>
      <c r="N859" s="5">
        <v>0.30555555555555558</v>
      </c>
    </row>
    <row r="860" spans="1:14" x14ac:dyDescent="0.3">
      <c r="A860" t="s">
        <v>1047</v>
      </c>
      <c r="B860" s="2">
        <v>45708</v>
      </c>
      <c r="C860" t="s">
        <v>289</v>
      </c>
      <c r="D860" t="s">
        <v>16</v>
      </c>
      <c r="E860" t="s">
        <v>36</v>
      </c>
      <c r="F860" t="s">
        <v>24</v>
      </c>
      <c r="G860" t="s">
        <v>25</v>
      </c>
      <c r="H860">
        <v>10</v>
      </c>
      <c r="I860" s="3">
        <v>15000</v>
      </c>
      <c r="J860" s="3">
        <v>19500</v>
      </c>
      <c r="K860" s="3">
        <v>195000</v>
      </c>
      <c r="L860" s="3">
        <v>150000</v>
      </c>
      <c r="M860" s="3">
        <v>45000</v>
      </c>
      <c r="N860" s="5">
        <v>0.23076923076923081</v>
      </c>
    </row>
    <row r="861" spans="1:14" x14ac:dyDescent="0.3">
      <c r="A861" t="s">
        <v>1048</v>
      </c>
      <c r="B861" s="2">
        <v>45772</v>
      </c>
      <c r="C861" t="s">
        <v>424</v>
      </c>
      <c r="D861" t="s">
        <v>16</v>
      </c>
      <c r="E861" t="s">
        <v>32</v>
      </c>
      <c r="F861" t="s">
        <v>18</v>
      </c>
      <c r="G861" t="s">
        <v>76</v>
      </c>
      <c r="H861">
        <v>17</v>
      </c>
      <c r="I861" s="3">
        <v>2500</v>
      </c>
      <c r="J861" s="3">
        <v>3600</v>
      </c>
      <c r="K861" s="3">
        <v>61200</v>
      </c>
      <c r="L861" s="3">
        <v>42500</v>
      </c>
      <c r="M861" s="3">
        <v>18700</v>
      </c>
      <c r="N861" s="5">
        <v>0.30555555555555558</v>
      </c>
    </row>
    <row r="862" spans="1:14" x14ac:dyDescent="0.3">
      <c r="A862" t="s">
        <v>1049</v>
      </c>
      <c r="B862" s="2">
        <v>45921</v>
      </c>
      <c r="C862" t="s">
        <v>146</v>
      </c>
      <c r="D862" t="s">
        <v>46</v>
      </c>
      <c r="E862" t="s">
        <v>17</v>
      </c>
      <c r="F862" t="s">
        <v>41</v>
      </c>
      <c r="G862" t="s">
        <v>42</v>
      </c>
      <c r="H862">
        <v>13</v>
      </c>
      <c r="I862" s="3">
        <v>8500</v>
      </c>
      <c r="J862" s="3">
        <v>12000</v>
      </c>
      <c r="K862" s="3">
        <v>156000</v>
      </c>
      <c r="L862" s="3">
        <v>110500</v>
      </c>
      <c r="M862" s="3">
        <v>45500</v>
      </c>
      <c r="N862" s="5">
        <v>0.29166666666666669</v>
      </c>
    </row>
    <row r="863" spans="1:14" x14ac:dyDescent="0.3">
      <c r="A863" t="s">
        <v>1050</v>
      </c>
      <c r="B863" s="2">
        <v>45991</v>
      </c>
      <c r="C863" t="s">
        <v>104</v>
      </c>
      <c r="D863" t="s">
        <v>35</v>
      </c>
      <c r="E863" t="s">
        <v>28</v>
      </c>
      <c r="F863" t="s">
        <v>18</v>
      </c>
      <c r="G863" t="s">
        <v>37</v>
      </c>
      <c r="H863">
        <v>5</v>
      </c>
      <c r="I863" s="3">
        <v>400</v>
      </c>
      <c r="J863" s="3">
        <v>650</v>
      </c>
      <c r="K863" s="3">
        <v>3250</v>
      </c>
      <c r="L863" s="3">
        <v>2000</v>
      </c>
      <c r="M863" s="3">
        <v>1250</v>
      </c>
      <c r="N863" s="5">
        <v>0.38461538461538458</v>
      </c>
    </row>
    <row r="864" spans="1:14" x14ac:dyDescent="0.3">
      <c r="A864" t="s">
        <v>1051</v>
      </c>
      <c r="B864" s="2">
        <v>45992</v>
      </c>
      <c r="C864" t="s">
        <v>374</v>
      </c>
      <c r="D864" t="s">
        <v>16</v>
      </c>
      <c r="E864" t="s">
        <v>36</v>
      </c>
      <c r="F864" t="s">
        <v>24</v>
      </c>
      <c r="G864" t="s">
        <v>63</v>
      </c>
      <c r="H864">
        <v>1</v>
      </c>
      <c r="I864" s="3">
        <v>42000</v>
      </c>
      <c r="J864" s="3">
        <v>55000</v>
      </c>
      <c r="K864" s="3">
        <v>55000</v>
      </c>
      <c r="L864" s="3">
        <v>42000</v>
      </c>
      <c r="M864" s="3">
        <v>13000</v>
      </c>
      <c r="N864" s="5">
        <v>0.23636363636363639</v>
      </c>
    </row>
    <row r="865" spans="1:14" x14ac:dyDescent="0.3">
      <c r="A865" t="s">
        <v>1052</v>
      </c>
      <c r="B865" s="2">
        <v>45839</v>
      </c>
      <c r="C865" t="s">
        <v>131</v>
      </c>
      <c r="D865" t="s">
        <v>35</v>
      </c>
      <c r="E865" t="s">
        <v>28</v>
      </c>
      <c r="F865" t="s">
        <v>41</v>
      </c>
      <c r="G865" t="s">
        <v>42</v>
      </c>
      <c r="H865">
        <v>4</v>
      </c>
      <c r="I865" s="3">
        <v>8500</v>
      </c>
      <c r="J865" s="3">
        <v>12000</v>
      </c>
      <c r="K865" s="3">
        <v>48000</v>
      </c>
      <c r="L865" s="3">
        <v>34000</v>
      </c>
      <c r="M865" s="3">
        <v>14000</v>
      </c>
      <c r="N865" s="5">
        <v>0.29166666666666669</v>
      </c>
    </row>
    <row r="866" spans="1:14" x14ac:dyDescent="0.3">
      <c r="A866" t="s">
        <v>1053</v>
      </c>
      <c r="B866" s="2">
        <v>45831</v>
      </c>
      <c r="C866" t="s">
        <v>609</v>
      </c>
      <c r="D866" t="s">
        <v>35</v>
      </c>
      <c r="E866" t="s">
        <v>28</v>
      </c>
      <c r="F866" t="s">
        <v>47</v>
      </c>
      <c r="G866" t="s">
        <v>48</v>
      </c>
      <c r="H866">
        <v>15</v>
      </c>
      <c r="I866" s="3">
        <v>2800</v>
      </c>
      <c r="J866" s="3">
        <v>4200</v>
      </c>
      <c r="K866" s="3">
        <v>63000</v>
      </c>
      <c r="L866" s="3">
        <v>42000</v>
      </c>
      <c r="M866" s="3">
        <v>21000</v>
      </c>
      <c r="N866" s="5">
        <v>0.33333333333333331</v>
      </c>
    </row>
    <row r="867" spans="1:14" x14ac:dyDescent="0.3">
      <c r="A867" t="s">
        <v>1054</v>
      </c>
      <c r="B867" s="2">
        <v>45970</v>
      </c>
      <c r="C867" t="s">
        <v>235</v>
      </c>
      <c r="D867" t="s">
        <v>40</v>
      </c>
      <c r="E867" t="s">
        <v>17</v>
      </c>
      <c r="F867" t="s">
        <v>18</v>
      </c>
      <c r="G867" t="s">
        <v>19</v>
      </c>
      <c r="H867">
        <v>20</v>
      </c>
      <c r="I867" s="3">
        <v>1800</v>
      </c>
      <c r="J867" s="3">
        <v>2600</v>
      </c>
      <c r="K867" s="3">
        <v>52000</v>
      </c>
      <c r="L867" s="3">
        <v>36000</v>
      </c>
      <c r="M867" s="3">
        <v>16000</v>
      </c>
      <c r="N867" s="5">
        <v>0.30769230769230771</v>
      </c>
    </row>
    <row r="868" spans="1:14" x14ac:dyDescent="0.3">
      <c r="A868" t="s">
        <v>1055</v>
      </c>
      <c r="B868" s="2">
        <v>45733</v>
      </c>
      <c r="C868" t="s">
        <v>367</v>
      </c>
      <c r="D868" t="s">
        <v>16</v>
      </c>
      <c r="E868" t="s">
        <v>55</v>
      </c>
      <c r="F868" t="s">
        <v>47</v>
      </c>
      <c r="G868" t="s">
        <v>48</v>
      </c>
      <c r="H868">
        <v>12</v>
      </c>
      <c r="I868" s="3">
        <v>2800</v>
      </c>
      <c r="J868" s="3">
        <v>4200</v>
      </c>
      <c r="K868" s="3">
        <v>50400</v>
      </c>
      <c r="L868" s="3">
        <v>33600</v>
      </c>
      <c r="M868" s="3">
        <v>16800</v>
      </c>
      <c r="N868" s="5">
        <v>0.33333333333333331</v>
      </c>
    </row>
    <row r="869" spans="1:14" x14ac:dyDescent="0.3">
      <c r="A869" t="s">
        <v>1056</v>
      </c>
      <c r="B869" s="2">
        <v>45896</v>
      </c>
      <c r="C869" t="s">
        <v>125</v>
      </c>
      <c r="D869" t="s">
        <v>16</v>
      </c>
      <c r="E869" t="s">
        <v>28</v>
      </c>
      <c r="F869" t="s">
        <v>47</v>
      </c>
      <c r="G869" t="s">
        <v>48</v>
      </c>
      <c r="H869">
        <v>13</v>
      </c>
      <c r="I869" s="3">
        <v>2800</v>
      </c>
      <c r="J869" s="3">
        <v>4200</v>
      </c>
      <c r="K869" s="3">
        <v>54600</v>
      </c>
      <c r="L869" s="3">
        <v>36400</v>
      </c>
      <c r="M869" s="3">
        <v>18200</v>
      </c>
      <c r="N869" s="5">
        <v>0.33333333333333331</v>
      </c>
    </row>
    <row r="870" spans="1:14" x14ac:dyDescent="0.3">
      <c r="A870" t="s">
        <v>1057</v>
      </c>
      <c r="B870" s="2">
        <v>45926</v>
      </c>
      <c r="C870" t="s">
        <v>719</v>
      </c>
      <c r="D870" t="s">
        <v>16</v>
      </c>
      <c r="E870" t="s">
        <v>23</v>
      </c>
      <c r="F870" t="s">
        <v>18</v>
      </c>
      <c r="G870" t="s">
        <v>37</v>
      </c>
      <c r="H870">
        <v>14</v>
      </c>
      <c r="I870" s="3">
        <v>400</v>
      </c>
      <c r="J870" s="3">
        <v>650</v>
      </c>
      <c r="K870" s="3">
        <v>9100</v>
      </c>
      <c r="L870" s="3">
        <v>5600</v>
      </c>
      <c r="M870" s="3">
        <v>3500</v>
      </c>
      <c r="N870" s="5">
        <v>0.38461538461538458</v>
      </c>
    </row>
    <row r="871" spans="1:14" x14ac:dyDescent="0.3">
      <c r="A871" t="s">
        <v>1058</v>
      </c>
      <c r="B871" s="2">
        <v>46004</v>
      </c>
      <c r="C871" t="s">
        <v>34</v>
      </c>
      <c r="D871" t="s">
        <v>46</v>
      </c>
      <c r="E871" t="s">
        <v>36</v>
      </c>
      <c r="F871" t="s">
        <v>18</v>
      </c>
      <c r="G871" t="s">
        <v>72</v>
      </c>
      <c r="H871">
        <v>20</v>
      </c>
      <c r="I871" s="3">
        <v>900</v>
      </c>
      <c r="J871" s="3">
        <v>1500</v>
      </c>
      <c r="K871" s="3">
        <v>30000</v>
      </c>
      <c r="L871" s="3">
        <v>18000</v>
      </c>
      <c r="M871" s="3">
        <v>12000</v>
      </c>
      <c r="N871" s="5">
        <v>0.4</v>
      </c>
    </row>
    <row r="872" spans="1:14" x14ac:dyDescent="0.3">
      <c r="A872" t="s">
        <v>1059</v>
      </c>
      <c r="B872" s="2">
        <v>45892</v>
      </c>
      <c r="C872" t="s">
        <v>461</v>
      </c>
      <c r="D872" t="s">
        <v>35</v>
      </c>
      <c r="E872" t="s">
        <v>36</v>
      </c>
      <c r="F872" t="s">
        <v>24</v>
      </c>
      <c r="G872" t="s">
        <v>25</v>
      </c>
      <c r="H872">
        <v>19</v>
      </c>
      <c r="I872" s="3">
        <v>15000</v>
      </c>
      <c r="J872" s="3">
        <v>19500</v>
      </c>
      <c r="K872" s="3">
        <v>370500</v>
      </c>
      <c r="L872" s="3">
        <v>285000</v>
      </c>
      <c r="M872" s="3">
        <v>85500</v>
      </c>
      <c r="N872" s="5">
        <v>0.23076923076923081</v>
      </c>
    </row>
    <row r="873" spans="1:14" x14ac:dyDescent="0.3">
      <c r="A873" t="s">
        <v>1060</v>
      </c>
      <c r="B873" s="2">
        <v>45703</v>
      </c>
      <c r="C873" t="s">
        <v>21</v>
      </c>
      <c r="D873" t="s">
        <v>35</v>
      </c>
      <c r="E873" t="s">
        <v>23</v>
      </c>
      <c r="F873" t="s">
        <v>24</v>
      </c>
      <c r="G873" t="s">
        <v>29</v>
      </c>
      <c r="H873">
        <v>5</v>
      </c>
      <c r="I873" s="3">
        <v>12000</v>
      </c>
      <c r="J873" s="3">
        <v>16500</v>
      </c>
      <c r="K873" s="3">
        <v>82500</v>
      </c>
      <c r="L873" s="3">
        <v>60000</v>
      </c>
      <c r="M873" s="3">
        <v>22500</v>
      </c>
      <c r="N873" s="5">
        <v>0.27272727272727271</v>
      </c>
    </row>
    <row r="874" spans="1:14" x14ac:dyDescent="0.3">
      <c r="A874" t="s">
        <v>1061</v>
      </c>
      <c r="B874" s="2">
        <v>46017</v>
      </c>
      <c r="C874" t="s">
        <v>259</v>
      </c>
      <c r="D874" t="s">
        <v>22</v>
      </c>
      <c r="E874" t="s">
        <v>23</v>
      </c>
      <c r="F874" t="s">
        <v>24</v>
      </c>
      <c r="G874" t="s">
        <v>29</v>
      </c>
      <c r="H874">
        <v>1</v>
      </c>
      <c r="I874" s="3">
        <v>12000</v>
      </c>
      <c r="J874" s="3">
        <v>16500</v>
      </c>
      <c r="K874" s="3">
        <v>16500</v>
      </c>
      <c r="L874" s="3">
        <v>12000</v>
      </c>
      <c r="M874" s="3">
        <v>4500</v>
      </c>
      <c r="N874" s="5">
        <v>0.27272727272727271</v>
      </c>
    </row>
    <row r="875" spans="1:14" x14ac:dyDescent="0.3">
      <c r="A875" t="s">
        <v>1062</v>
      </c>
      <c r="B875" s="2">
        <v>45707</v>
      </c>
      <c r="C875" t="s">
        <v>206</v>
      </c>
      <c r="D875" t="s">
        <v>16</v>
      </c>
      <c r="E875" t="s">
        <v>28</v>
      </c>
      <c r="F875" t="s">
        <v>41</v>
      </c>
      <c r="G875" t="s">
        <v>42</v>
      </c>
      <c r="H875">
        <v>2</v>
      </c>
      <c r="I875" s="3">
        <v>8500</v>
      </c>
      <c r="J875" s="3">
        <v>12000</v>
      </c>
      <c r="K875" s="3">
        <v>24000</v>
      </c>
      <c r="L875" s="3">
        <v>17000</v>
      </c>
      <c r="M875" s="3">
        <v>7000</v>
      </c>
      <c r="N875" s="5">
        <v>0.29166666666666669</v>
      </c>
    </row>
    <row r="876" spans="1:14" x14ac:dyDescent="0.3">
      <c r="A876" t="s">
        <v>1063</v>
      </c>
      <c r="B876" s="2">
        <v>45752</v>
      </c>
      <c r="C876" t="s">
        <v>215</v>
      </c>
      <c r="D876" t="s">
        <v>22</v>
      </c>
      <c r="E876" t="s">
        <v>17</v>
      </c>
      <c r="F876" t="s">
        <v>24</v>
      </c>
      <c r="G876" t="s">
        <v>29</v>
      </c>
      <c r="H876">
        <v>14</v>
      </c>
      <c r="I876" s="3">
        <v>12000</v>
      </c>
      <c r="J876" s="3">
        <v>16500</v>
      </c>
      <c r="K876" s="3">
        <v>231000</v>
      </c>
      <c r="L876" s="3">
        <v>168000</v>
      </c>
      <c r="M876" s="3">
        <v>63000</v>
      </c>
      <c r="N876" s="5">
        <v>0.27272727272727271</v>
      </c>
    </row>
    <row r="877" spans="1:14" x14ac:dyDescent="0.3">
      <c r="A877" t="s">
        <v>1064</v>
      </c>
      <c r="B877" s="2">
        <v>45956</v>
      </c>
      <c r="C877" t="s">
        <v>357</v>
      </c>
      <c r="D877" t="s">
        <v>16</v>
      </c>
      <c r="E877" t="s">
        <v>32</v>
      </c>
      <c r="F877" t="s">
        <v>24</v>
      </c>
      <c r="G877" t="s">
        <v>63</v>
      </c>
      <c r="H877">
        <v>5</v>
      </c>
      <c r="I877" s="3">
        <v>42000</v>
      </c>
      <c r="J877" s="3">
        <v>55000</v>
      </c>
      <c r="K877" s="3">
        <v>275000</v>
      </c>
      <c r="L877" s="3">
        <v>210000</v>
      </c>
      <c r="M877" s="3">
        <v>65000</v>
      </c>
      <c r="N877" s="5">
        <v>0.23636363636363639</v>
      </c>
    </row>
    <row r="878" spans="1:14" x14ac:dyDescent="0.3">
      <c r="A878" t="s">
        <v>1065</v>
      </c>
      <c r="B878" s="2">
        <v>46016</v>
      </c>
      <c r="C878" t="s">
        <v>138</v>
      </c>
      <c r="D878" t="s">
        <v>16</v>
      </c>
      <c r="E878" t="s">
        <v>23</v>
      </c>
      <c r="F878" t="s">
        <v>18</v>
      </c>
      <c r="G878" t="s">
        <v>76</v>
      </c>
      <c r="H878">
        <v>3</v>
      </c>
      <c r="I878" s="3">
        <v>2500</v>
      </c>
      <c r="J878" s="3">
        <v>3600</v>
      </c>
      <c r="K878" s="3">
        <v>10800</v>
      </c>
      <c r="L878" s="3">
        <v>7500</v>
      </c>
      <c r="M878" s="3">
        <v>3300</v>
      </c>
      <c r="N878" s="5">
        <v>0.30555555555555558</v>
      </c>
    </row>
    <row r="879" spans="1:14" x14ac:dyDescent="0.3">
      <c r="A879" t="s">
        <v>1066</v>
      </c>
      <c r="B879" s="2">
        <v>45959</v>
      </c>
      <c r="C879" t="s">
        <v>144</v>
      </c>
      <c r="D879" t="s">
        <v>16</v>
      </c>
      <c r="E879" t="s">
        <v>32</v>
      </c>
      <c r="F879" t="s">
        <v>18</v>
      </c>
      <c r="G879" t="s">
        <v>37</v>
      </c>
      <c r="H879">
        <v>2</v>
      </c>
      <c r="I879" s="3">
        <v>400</v>
      </c>
      <c r="J879" s="3">
        <v>650</v>
      </c>
      <c r="K879" s="3">
        <v>1300</v>
      </c>
      <c r="L879" s="3">
        <v>800</v>
      </c>
      <c r="M879" s="3">
        <v>500</v>
      </c>
      <c r="N879" s="5">
        <v>0.38461538461538458</v>
      </c>
    </row>
    <row r="880" spans="1:14" x14ac:dyDescent="0.3">
      <c r="A880" t="s">
        <v>1067</v>
      </c>
      <c r="B880" s="2">
        <v>45955</v>
      </c>
      <c r="C880" t="s">
        <v>289</v>
      </c>
      <c r="D880" t="s">
        <v>35</v>
      </c>
      <c r="E880" t="s">
        <v>28</v>
      </c>
      <c r="F880" t="s">
        <v>24</v>
      </c>
      <c r="G880" t="s">
        <v>29</v>
      </c>
      <c r="H880">
        <v>16</v>
      </c>
      <c r="I880" s="3">
        <v>12000</v>
      </c>
      <c r="J880" s="3">
        <v>16500</v>
      </c>
      <c r="K880" s="3">
        <v>264000</v>
      </c>
      <c r="L880" s="3">
        <v>192000</v>
      </c>
      <c r="M880" s="3">
        <v>72000</v>
      </c>
      <c r="N880" s="5">
        <v>0.27272727272727271</v>
      </c>
    </row>
    <row r="881" spans="1:14" x14ac:dyDescent="0.3">
      <c r="A881" t="s">
        <v>1068</v>
      </c>
      <c r="B881" s="2">
        <v>45848</v>
      </c>
      <c r="C881" t="s">
        <v>433</v>
      </c>
      <c r="D881" t="s">
        <v>35</v>
      </c>
      <c r="E881" t="s">
        <v>32</v>
      </c>
      <c r="F881" t="s">
        <v>41</v>
      </c>
      <c r="G881" t="s">
        <v>42</v>
      </c>
      <c r="H881">
        <v>2</v>
      </c>
      <c r="I881" s="3">
        <v>8500</v>
      </c>
      <c r="J881" s="3">
        <v>12000</v>
      </c>
      <c r="K881" s="3">
        <v>24000</v>
      </c>
      <c r="L881" s="3">
        <v>17000</v>
      </c>
      <c r="M881" s="3">
        <v>7000</v>
      </c>
      <c r="N881" s="5">
        <v>0.29166666666666669</v>
      </c>
    </row>
    <row r="882" spans="1:14" x14ac:dyDescent="0.3">
      <c r="A882" t="s">
        <v>1069</v>
      </c>
      <c r="B882" s="2">
        <v>45728</v>
      </c>
      <c r="C882" t="s">
        <v>128</v>
      </c>
      <c r="D882" t="s">
        <v>35</v>
      </c>
      <c r="E882" t="s">
        <v>55</v>
      </c>
      <c r="F882" t="s">
        <v>18</v>
      </c>
      <c r="G882" t="s">
        <v>60</v>
      </c>
      <c r="H882">
        <v>10</v>
      </c>
      <c r="I882" s="3">
        <v>1800</v>
      </c>
      <c r="J882" s="3">
        <v>2800</v>
      </c>
      <c r="K882" s="3">
        <v>28000</v>
      </c>
      <c r="L882" s="3">
        <v>18000</v>
      </c>
      <c r="M882" s="3">
        <v>10000</v>
      </c>
      <c r="N882" s="5">
        <v>0.35714285714285721</v>
      </c>
    </row>
    <row r="883" spans="1:14" x14ac:dyDescent="0.3">
      <c r="A883" t="s">
        <v>1070</v>
      </c>
      <c r="B883" s="2">
        <v>46010</v>
      </c>
      <c r="C883" t="s">
        <v>918</v>
      </c>
      <c r="D883" t="s">
        <v>46</v>
      </c>
      <c r="E883" t="s">
        <v>32</v>
      </c>
      <c r="F883" t="s">
        <v>18</v>
      </c>
      <c r="G883" t="s">
        <v>19</v>
      </c>
      <c r="H883">
        <v>17</v>
      </c>
      <c r="I883" s="3">
        <v>1800</v>
      </c>
      <c r="J883" s="3">
        <v>2600</v>
      </c>
      <c r="K883" s="3">
        <v>44200</v>
      </c>
      <c r="L883" s="3">
        <v>30600</v>
      </c>
      <c r="M883" s="3">
        <v>13600</v>
      </c>
      <c r="N883" s="5">
        <v>0.30769230769230771</v>
      </c>
    </row>
    <row r="884" spans="1:14" x14ac:dyDescent="0.3">
      <c r="A884" t="s">
        <v>1071</v>
      </c>
      <c r="B884" s="2">
        <v>45722</v>
      </c>
      <c r="C884" t="s">
        <v>175</v>
      </c>
      <c r="D884" t="s">
        <v>40</v>
      </c>
      <c r="E884" t="s">
        <v>36</v>
      </c>
      <c r="F884" t="s">
        <v>18</v>
      </c>
      <c r="G884" t="s">
        <v>60</v>
      </c>
      <c r="H884">
        <v>10</v>
      </c>
      <c r="I884" s="3">
        <v>1800</v>
      </c>
      <c r="J884" s="3">
        <v>2800</v>
      </c>
      <c r="K884" s="3">
        <v>28000</v>
      </c>
      <c r="L884" s="3">
        <v>18000</v>
      </c>
      <c r="M884" s="3">
        <v>10000</v>
      </c>
      <c r="N884" s="5">
        <v>0.35714285714285721</v>
      </c>
    </row>
    <row r="885" spans="1:14" x14ac:dyDescent="0.3">
      <c r="A885" t="s">
        <v>1072</v>
      </c>
      <c r="B885" s="2">
        <v>45712</v>
      </c>
      <c r="C885" t="s">
        <v>272</v>
      </c>
      <c r="D885" t="s">
        <v>40</v>
      </c>
      <c r="E885" t="s">
        <v>28</v>
      </c>
      <c r="F885" t="s">
        <v>18</v>
      </c>
      <c r="G885" t="s">
        <v>60</v>
      </c>
      <c r="H885">
        <v>2</v>
      </c>
      <c r="I885" s="3">
        <v>1800</v>
      </c>
      <c r="J885" s="3">
        <v>2800</v>
      </c>
      <c r="K885" s="3">
        <v>5600</v>
      </c>
      <c r="L885" s="3">
        <v>3600</v>
      </c>
      <c r="M885" s="3">
        <v>2000</v>
      </c>
      <c r="N885" s="5">
        <v>0.35714285714285721</v>
      </c>
    </row>
    <row r="886" spans="1:14" x14ac:dyDescent="0.3">
      <c r="A886" t="s">
        <v>1073</v>
      </c>
      <c r="B886" s="2">
        <v>45816</v>
      </c>
      <c r="C886" t="s">
        <v>213</v>
      </c>
      <c r="D886" t="s">
        <v>40</v>
      </c>
      <c r="E886" t="s">
        <v>36</v>
      </c>
      <c r="F886" t="s">
        <v>18</v>
      </c>
      <c r="G886" t="s">
        <v>72</v>
      </c>
      <c r="H886">
        <v>19</v>
      </c>
      <c r="I886" s="3">
        <v>900</v>
      </c>
      <c r="J886" s="3">
        <v>1500</v>
      </c>
      <c r="K886" s="3">
        <v>28500</v>
      </c>
      <c r="L886" s="3">
        <v>17100</v>
      </c>
      <c r="M886" s="3">
        <v>11400</v>
      </c>
      <c r="N886" s="5">
        <v>0.4</v>
      </c>
    </row>
    <row r="887" spans="1:14" x14ac:dyDescent="0.3">
      <c r="A887" t="s">
        <v>1074</v>
      </c>
      <c r="B887" s="2">
        <v>45918</v>
      </c>
      <c r="C887" t="s">
        <v>410</v>
      </c>
      <c r="D887" t="s">
        <v>16</v>
      </c>
      <c r="E887" t="s">
        <v>36</v>
      </c>
      <c r="F887" t="s">
        <v>18</v>
      </c>
      <c r="G887" t="s">
        <v>60</v>
      </c>
      <c r="H887">
        <v>14</v>
      </c>
      <c r="I887" s="3">
        <v>1800</v>
      </c>
      <c r="J887" s="3">
        <v>2800</v>
      </c>
      <c r="K887" s="3">
        <v>39200</v>
      </c>
      <c r="L887" s="3">
        <v>25200</v>
      </c>
      <c r="M887" s="3">
        <v>14000</v>
      </c>
      <c r="N887" s="5">
        <v>0.35714285714285721</v>
      </c>
    </row>
    <row r="888" spans="1:14" x14ac:dyDescent="0.3">
      <c r="A888" t="s">
        <v>1075</v>
      </c>
      <c r="B888" s="2">
        <v>46007</v>
      </c>
      <c r="C888" t="s">
        <v>643</v>
      </c>
      <c r="D888" t="s">
        <v>40</v>
      </c>
      <c r="E888" t="s">
        <v>17</v>
      </c>
      <c r="F888" t="s">
        <v>47</v>
      </c>
      <c r="G888" t="s">
        <v>48</v>
      </c>
      <c r="H888">
        <v>8</v>
      </c>
      <c r="I888" s="3">
        <v>2800</v>
      </c>
      <c r="J888" s="3">
        <v>4200</v>
      </c>
      <c r="K888" s="3">
        <v>33600</v>
      </c>
      <c r="L888" s="3">
        <v>22400</v>
      </c>
      <c r="M888" s="3">
        <v>11200</v>
      </c>
      <c r="N888" s="5">
        <v>0.33333333333333331</v>
      </c>
    </row>
    <row r="889" spans="1:14" x14ac:dyDescent="0.3">
      <c r="A889" t="s">
        <v>1076</v>
      </c>
      <c r="B889" s="2">
        <v>46016</v>
      </c>
      <c r="C889" t="s">
        <v>223</v>
      </c>
      <c r="D889" t="s">
        <v>22</v>
      </c>
      <c r="E889" t="s">
        <v>17</v>
      </c>
      <c r="F889" t="s">
        <v>18</v>
      </c>
      <c r="G889" t="s">
        <v>19</v>
      </c>
      <c r="H889">
        <v>19</v>
      </c>
      <c r="I889" s="3">
        <v>1800</v>
      </c>
      <c r="J889" s="3">
        <v>2600</v>
      </c>
      <c r="K889" s="3">
        <v>49400</v>
      </c>
      <c r="L889" s="3">
        <v>34200</v>
      </c>
      <c r="M889" s="3">
        <v>15200</v>
      </c>
      <c r="N889" s="5">
        <v>0.30769230769230771</v>
      </c>
    </row>
    <row r="890" spans="1:14" x14ac:dyDescent="0.3">
      <c r="A890" t="s">
        <v>1077</v>
      </c>
      <c r="B890" s="2">
        <v>45854</v>
      </c>
      <c r="C890" t="s">
        <v>218</v>
      </c>
      <c r="D890" t="s">
        <v>35</v>
      </c>
      <c r="E890" t="s">
        <v>17</v>
      </c>
      <c r="F890" t="s">
        <v>18</v>
      </c>
      <c r="G890" t="s">
        <v>60</v>
      </c>
      <c r="H890">
        <v>11</v>
      </c>
      <c r="I890" s="3">
        <v>1800</v>
      </c>
      <c r="J890" s="3">
        <v>2800</v>
      </c>
      <c r="K890" s="3">
        <v>30800</v>
      </c>
      <c r="L890" s="3">
        <v>19800</v>
      </c>
      <c r="M890" s="3">
        <v>11000</v>
      </c>
      <c r="N890" s="5">
        <v>0.35714285714285721</v>
      </c>
    </row>
    <row r="891" spans="1:14" x14ac:dyDescent="0.3">
      <c r="A891" t="s">
        <v>1078</v>
      </c>
      <c r="B891" s="2">
        <v>45777</v>
      </c>
      <c r="C891" t="s">
        <v>235</v>
      </c>
      <c r="D891" t="s">
        <v>35</v>
      </c>
      <c r="E891" t="s">
        <v>32</v>
      </c>
      <c r="F891" t="s">
        <v>24</v>
      </c>
      <c r="G891" t="s">
        <v>29</v>
      </c>
      <c r="H891">
        <v>9</v>
      </c>
      <c r="I891" s="3">
        <v>12000</v>
      </c>
      <c r="J891" s="3">
        <v>16500</v>
      </c>
      <c r="K891" s="3">
        <v>148500</v>
      </c>
      <c r="L891" s="3">
        <v>108000</v>
      </c>
      <c r="M891" s="3">
        <v>40500</v>
      </c>
      <c r="N891" s="5">
        <v>0.27272727272727271</v>
      </c>
    </row>
    <row r="892" spans="1:14" x14ac:dyDescent="0.3">
      <c r="A892" t="s">
        <v>1079</v>
      </c>
      <c r="B892" s="2">
        <v>45982</v>
      </c>
      <c r="C892" t="s">
        <v>367</v>
      </c>
      <c r="D892" t="s">
        <v>16</v>
      </c>
      <c r="E892" t="s">
        <v>55</v>
      </c>
      <c r="F892" t="s">
        <v>24</v>
      </c>
      <c r="G892" t="s">
        <v>29</v>
      </c>
      <c r="H892">
        <v>5</v>
      </c>
      <c r="I892" s="3">
        <v>12000</v>
      </c>
      <c r="J892" s="3">
        <v>16500</v>
      </c>
      <c r="K892" s="3">
        <v>82500</v>
      </c>
      <c r="L892" s="3">
        <v>60000</v>
      </c>
      <c r="M892" s="3">
        <v>22500</v>
      </c>
      <c r="N892" s="5">
        <v>0.27272727272727271</v>
      </c>
    </row>
    <row r="893" spans="1:14" x14ac:dyDescent="0.3">
      <c r="A893" t="s">
        <v>1080</v>
      </c>
      <c r="B893" s="2">
        <v>45681</v>
      </c>
      <c r="C893" t="s">
        <v>39</v>
      </c>
      <c r="D893" t="s">
        <v>35</v>
      </c>
      <c r="E893" t="s">
        <v>32</v>
      </c>
      <c r="F893" t="s">
        <v>18</v>
      </c>
      <c r="G893" t="s">
        <v>60</v>
      </c>
      <c r="H893">
        <v>3</v>
      </c>
      <c r="I893" s="3">
        <v>1800</v>
      </c>
      <c r="J893" s="3">
        <v>2800</v>
      </c>
      <c r="K893" s="3">
        <v>8400</v>
      </c>
      <c r="L893" s="3">
        <v>5400</v>
      </c>
      <c r="M893" s="3">
        <v>3000</v>
      </c>
      <c r="N893" s="5">
        <v>0.35714285714285721</v>
      </c>
    </row>
    <row r="894" spans="1:14" x14ac:dyDescent="0.3">
      <c r="A894" t="s">
        <v>1081</v>
      </c>
      <c r="B894" s="2">
        <v>45723</v>
      </c>
      <c r="C894" t="s">
        <v>918</v>
      </c>
      <c r="D894" t="s">
        <v>35</v>
      </c>
      <c r="E894" t="s">
        <v>55</v>
      </c>
      <c r="F894" t="s">
        <v>18</v>
      </c>
      <c r="G894" t="s">
        <v>37</v>
      </c>
      <c r="H894">
        <v>10</v>
      </c>
      <c r="I894" s="3">
        <v>400</v>
      </c>
      <c r="J894" s="3">
        <v>650</v>
      </c>
      <c r="K894" s="3">
        <v>6500</v>
      </c>
      <c r="L894" s="3">
        <v>4000</v>
      </c>
      <c r="M894" s="3">
        <v>2500</v>
      </c>
      <c r="N894" s="5">
        <v>0.38461538461538458</v>
      </c>
    </row>
    <row r="895" spans="1:14" x14ac:dyDescent="0.3">
      <c r="A895" t="s">
        <v>1082</v>
      </c>
      <c r="B895" s="2">
        <v>45801</v>
      </c>
      <c r="C895" t="s">
        <v>563</v>
      </c>
      <c r="D895" t="s">
        <v>22</v>
      </c>
      <c r="E895" t="s">
        <v>36</v>
      </c>
      <c r="F895" t="s">
        <v>24</v>
      </c>
      <c r="G895" t="s">
        <v>63</v>
      </c>
      <c r="H895">
        <v>15</v>
      </c>
      <c r="I895" s="3">
        <v>42000</v>
      </c>
      <c r="J895" s="3">
        <v>55000</v>
      </c>
      <c r="K895" s="3">
        <v>825000</v>
      </c>
      <c r="L895" s="3">
        <v>630000</v>
      </c>
      <c r="M895" s="3">
        <v>195000</v>
      </c>
      <c r="N895" s="5">
        <v>0.23636363636363639</v>
      </c>
    </row>
    <row r="896" spans="1:14" x14ac:dyDescent="0.3">
      <c r="A896" t="s">
        <v>1083</v>
      </c>
      <c r="B896" s="2">
        <v>45928</v>
      </c>
      <c r="C896" t="s">
        <v>396</v>
      </c>
      <c r="D896" t="s">
        <v>46</v>
      </c>
      <c r="E896" t="s">
        <v>36</v>
      </c>
      <c r="F896" t="s">
        <v>18</v>
      </c>
      <c r="G896" t="s">
        <v>37</v>
      </c>
      <c r="H896">
        <v>6</v>
      </c>
      <c r="I896" s="3">
        <v>400</v>
      </c>
      <c r="J896" s="3">
        <v>650</v>
      </c>
      <c r="K896" s="3">
        <v>3900</v>
      </c>
      <c r="L896" s="3">
        <v>2400</v>
      </c>
      <c r="M896" s="3">
        <v>1500</v>
      </c>
      <c r="N896" s="5">
        <v>0.38461538461538458</v>
      </c>
    </row>
    <row r="897" spans="1:14" x14ac:dyDescent="0.3">
      <c r="A897" t="s">
        <v>1084</v>
      </c>
      <c r="B897" s="2">
        <v>45957</v>
      </c>
      <c r="C897" t="s">
        <v>472</v>
      </c>
      <c r="D897" t="s">
        <v>16</v>
      </c>
      <c r="E897" t="s">
        <v>23</v>
      </c>
      <c r="F897" t="s">
        <v>24</v>
      </c>
      <c r="G897" t="s">
        <v>25</v>
      </c>
      <c r="H897">
        <v>8</v>
      </c>
      <c r="I897" s="3">
        <v>15000</v>
      </c>
      <c r="J897" s="3">
        <v>19500</v>
      </c>
      <c r="K897" s="3">
        <v>156000</v>
      </c>
      <c r="L897" s="3">
        <v>120000</v>
      </c>
      <c r="M897" s="3">
        <v>36000</v>
      </c>
      <c r="N897" s="5">
        <v>0.23076923076923081</v>
      </c>
    </row>
    <row r="898" spans="1:14" x14ac:dyDescent="0.3">
      <c r="A898" t="s">
        <v>1085</v>
      </c>
      <c r="B898" s="2">
        <v>45748</v>
      </c>
      <c r="C898" t="s">
        <v>210</v>
      </c>
      <c r="D898" t="s">
        <v>22</v>
      </c>
      <c r="E898" t="s">
        <v>17</v>
      </c>
      <c r="F898" t="s">
        <v>18</v>
      </c>
      <c r="G898" t="s">
        <v>76</v>
      </c>
      <c r="H898">
        <v>1</v>
      </c>
      <c r="I898" s="3">
        <v>2500</v>
      </c>
      <c r="J898" s="3">
        <v>3600</v>
      </c>
      <c r="K898" s="3">
        <v>3600</v>
      </c>
      <c r="L898" s="3">
        <v>2500</v>
      </c>
      <c r="M898" s="3">
        <v>1100</v>
      </c>
      <c r="N898" s="5">
        <v>0.30555555555555558</v>
      </c>
    </row>
    <row r="899" spans="1:14" x14ac:dyDescent="0.3">
      <c r="A899" t="s">
        <v>1086</v>
      </c>
      <c r="B899" s="2">
        <v>45889</v>
      </c>
      <c r="C899" t="s">
        <v>659</v>
      </c>
      <c r="D899" t="s">
        <v>35</v>
      </c>
      <c r="E899" t="s">
        <v>36</v>
      </c>
      <c r="F899" t="s">
        <v>18</v>
      </c>
      <c r="G899" t="s">
        <v>72</v>
      </c>
      <c r="H899">
        <v>2</v>
      </c>
      <c r="I899" s="3">
        <v>900</v>
      </c>
      <c r="J899" s="3">
        <v>1500</v>
      </c>
      <c r="K899" s="3">
        <v>3000</v>
      </c>
      <c r="L899" s="3">
        <v>1800</v>
      </c>
      <c r="M899" s="3">
        <v>1200</v>
      </c>
      <c r="N899" s="5">
        <v>0.4</v>
      </c>
    </row>
    <row r="900" spans="1:14" x14ac:dyDescent="0.3">
      <c r="A900" t="s">
        <v>1087</v>
      </c>
      <c r="B900" s="2">
        <v>45867</v>
      </c>
      <c r="C900" t="s">
        <v>175</v>
      </c>
      <c r="D900" t="s">
        <v>40</v>
      </c>
      <c r="E900" t="s">
        <v>17</v>
      </c>
      <c r="F900" t="s">
        <v>18</v>
      </c>
      <c r="G900" t="s">
        <v>60</v>
      </c>
      <c r="H900">
        <v>9</v>
      </c>
      <c r="I900" s="3">
        <v>1800</v>
      </c>
      <c r="J900" s="3">
        <v>2800</v>
      </c>
      <c r="K900" s="3">
        <v>25200</v>
      </c>
      <c r="L900" s="3">
        <v>16200</v>
      </c>
      <c r="M900" s="3">
        <v>9000</v>
      </c>
      <c r="N900" s="5">
        <v>0.35714285714285721</v>
      </c>
    </row>
    <row r="901" spans="1:14" x14ac:dyDescent="0.3">
      <c r="A901" t="s">
        <v>1088</v>
      </c>
      <c r="B901" s="2">
        <v>45958</v>
      </c>
      <c r="C901" t="s">
        <v>440</v>
      </c>
      <c r="D901" t="s">
        <v>40</v>
      </c>
      <c r="E901" t="s">
        <v>17</v>
      </c>
      <c r="F901" t="s">
        <v>18</v>
      </c>
      <c r="G901" t="s">
        <v>19</v>
      </c>
      <c r="H901">
        <v>12</v>
      </c>
      <c r="I901" s="3">
        <v>1800</v>
      </c>
      <c r="J901" s="3">
        <v>2600</v>
      </c>
      <c r="K901" s="3">
        <v>31200</v>
      </c>
      <c r="L901" s="3">
        <v>21600</v>
      </c>
      <c r="M901" s="3">
        <v>9600</v>
      </c>
      <c r="N901" s="5">
        <v>0.30769230769230771</v>
      </c>
    </row>
    <row r="902" spans="1:14" x14ac:dyDescent="0.3">
      <c r="A902" t="s">
        <v>1089</v>
      </c>
      <c r="B902" s="2">
        <v>45823</v>
      </c>
      <c r="C902" t="s">
        <v>159</v>
      </c>
      <c r="D902" t="s">
        <v>46</v>
      </c>
      <c r="E902" t="s">
        <v>32</v>
      </c>
      <c r="F902" t="s">
        <v>24</v>
      </c>
      <c r="G902" t="s">
        <v>29</v>
      </c>
      <c r="H902">
        <v>15</v>
      </c>
      <c r="I902" s="3">
        <v>12000</v>
      </c>
      <c r="J902" s="3">
        <v>16500</v>
      </c>
      <c r="K902" s="3">
        <v>247500</v>
      </c>
      <c r="L902" s="3">
        <v>180000</v>
      </c>
      <c r="M902" s="3">
        <v>67500</v>
      </c>
      <c r="N902" s="5">
        <v>0.27272727272727271</v>
      </c>
    </row>
    <row r="903" spans="1:14" x14ac:dyDescent="0.3">
      <c r="A903" t="s">
        <v>1090</v>
      </c>
      <c r="B903" s="2">
        <v>45866</v>
      </c>
      <c r="C903" t="s">
        <v>80</v>
      </c>
      <c r="D903" t="s">
        <v>35</v>
      </c>
      <c r="E903" t="s">
        <v>28</v>
      </c>
      <c r="F903" t="s">
        <v>18</v>
      </c>
      <c r="G903" t="s">
        <v>76</v>
      </c>
      <c r="H903">
        <v>16</v>
      </c>
      <c r="I903" s="3">
        <v>2500</v>
      </c>
      <c r="J903" s="3">
        <v>3600</v>
      </c>
      <c r="K903" s="3">
        <v>57600</v>
      </c>
      <c r="L903" s="3">
        <v>40000</v>
      </c>
      <c r="M903" s="3">
        <v>17600</v>
      </c>
      <c r="N903" s="5">
        <v>0.30555555555555558</v>
      </c>
    </row>
    <row r="904" spans="1:14" x14ac:dyDescent="0.3">
      <c r="A904" t="s">
        <v>1091</v>
      </c>
      <c r="B904" s="2">
        <v>45848</v>
      </c>
      <c r="C904" t="s">
        <v>238</v>
      </c>
      <c r="D904" t="s">
        <v>35</v>
      </c>
      <c r="E904" t="s">
        <v>23</v>
      </c>
      <c r="F904" t="s">
        <v>18</v>
      </c>
      <c r="G904" t="s">
        <v>60</v>
      </c>
      <c r="H904">
        <v>16</v>
      </c>
      <c r="I904" s="3">
        <v>1800</v>
      </c>
      <c r="J904" s="3">
        <v>2800</v>
      </c>
      <c r="K904" s="3">
        <v>44800</v>
      </c>
      <c r="L904" s="3">
        <v>28800</v>
      </c>
      <c r="M904" s="3">
        <v>16000</v>
      </c>
      <c r="N904" s="5">
        <v>0.35714285714285721</v>
      </c>
    </row>
    <row r="905" spans="1:14" x14ac:dyDescent="0.3">
      <c r="A905" t="s">
        <v>1092</v>
      </c>
      <c r="B905" s="2">
        <v>45912</v>
      </c>
      <c r="C905" t="s">
        <v>374</v>
      </c>
      <c r="D905" t="s">
        <v>22</v>
      </c>
      <c r="E905" t="s">
        <v>36</v>
      </c>
      <c r="F905" t="s">
        <v>41</v>
      </c>
      <c r="G905" t="s">
        <v>42</v>
      </c>
      <c r="H905">
        <v>4</v>
      </c>
      <c r="I905" s="3">
        <v>8500</v>
      </c>
      <c r="J905" s="3">
        <v>12000</v>
      </c>
      <c r="K905" s="3">
        <v>48000</v>
      </c>
      <c r="L905" s="3">
        <v>34000</v>
      </c>
      <c r="M905" s="3">
        <v>14000</v>
      </c>
      <c r="N905" s="5">
        <v>0.29166666666666669</v>
      </c>
    </row>
    <row r="906" spans="1:14" x14ac:dyDescent="0.3">
      <c r="A906" t="s">
        <v>1093</v>
      </c>
      <c r="B906" s="2">
        <v>45820</v>
      </c>
      <c r="C906" t="s">
        <v>215</v>
      </c>
      <c r="D906" t="s">
        <v>22</v>
      </c>
      <c r="E906" t="s">
        <v>28</v>
      </c>
      <c r="F906" t="s">
        <v>47</v>
      </c>
      <c r="G906" t="s">
        <v>48</v>
      </c>
      <c r="H906">
        <v>16</v>
      </c>
      <c r="I906" s="3">
        <v>2800</v>
      </c>
      <c r="J906" s="3">
        <v>4200</v>
      </c>
      <c r="K906" s="3">
        <v>67200</v>
      </c>
      <c r="L906" s="3">
        <v>44800</v>
      </c>
      <c r="M906" s="3">
        <v>22400</v>
      </c>
      <c r="N906" s="5">
        <v>0.33333333333333331</v>
      </c>
    </row>
    <row r="907" spans="1:14" x14ac:dyDescent="0.3">
      <c r="A907" t="s">
        <v>1094</v>
      </c>
      <c r="B907" s="2">
        <v>45830</v>
      </c>
      <c r="C907" t="s">
        <v>399</v>
      </c>
      <c r="D907" t="s">
        <v>35</v>
      </c>
      <c r="E907" t="s">
        <v>55</v>
      </c>
      <c r="F907" t="s">
        <v>47</v>
      </c>
      <c r="G907" t="s">
        <v>48</v>
      </c>
      <c r="H907">
        <v>17</v>
      </c>
      <c r="I907" s="3">
        <v>2800</v>
      </c>
      <c r="J907" s="3">
        <v>4200</v>
      </c>
      <c r="K907" s="3">
        <v>71400</v>
      </c>
      <c r="L907" s="3">
        <v>47600</v>
      </c>
      <c r="M907" s="3">
        <v>23800</v>
      </c>
      <c r="N907" s="5">
        <v>0.33333333333333331</v>
      </c>
    </row>
    <row r="908" spans="1:14" x14ac:dyDescent="0.3">
      <c r="A908" t="s">
        <v>1095</v>
      </c>
      <c r="B908" s="2">
        <v>45857</v>
      </c>
      <c r="C908" t="s">
        <v>563</v>
      </c>
      <c r="D908" t="s">
        <v>46</v>
      </c>
      <c r="E908" t="s">
        <v>28</v>
      </c>
      <c r="F908" t="s">
        <v>47</v>
      </c>
      <c r="G908" t="s">
        <v>48</v>
      </c>
      <c r="H908">
        <v>11</v>
      </c>
      <c r="I908" s="3">
        <v>2800</v>
      </c>
      <c r="J908" s="3">
        <v>4200</v>
      </c>
      <c r="K908" s="3">
        <v>46200</v>
      </c>
      <c r="L908" s="3">
        <v>30800</v>
      </c>
      <c r="M908" s="3">
        <v>15400</v>
      </c>
      <c r="N908" s="5">
        <v>0.33333333333333331</v>
      </c>
    </row>
    <row r="909" spans="1:14" x14ac:dyDescent="0.3">
      <c r="A909" t="s">
        <v>1096</v>
      </c>
      <c r="B909" s="2">
        <v>45665</v>
      </c>
      <c r="C909" t="s">
        <v>182</v>
      </c>
      <c r="D909" t="s">
        <v>16</v>
      </c>
      <c r="E909" t="s">
        <v>32</v>
      </c>
      <c r="F909" t="s">
        <v>18</v>
      </c>
      <c r="G909" t="s">
        <v>72</v>
      </c>
      <c r="H909">
        <v>11</v>
      </c>
      <c r="I909" s="3">
        <v>900</v>
      </c>
      <c r="J909" s="3">
        <v>1500</v>
      </c>
      <c r="K909" s="3">
        <v>16500</v>
      </c>
      <c r="L909" s="3">
        <v>9900</v>
      </c>
      <c r="M909" s="3">
        <v>6600</v>
      </c>
      <c r="N909" s="5">
        <v>0.4</v>
      </c>
    </row>
    <row r="910" spans="1:14" x14ac:dyDescent="0.3">
      <c r="A910" t="s">
        <v>1097</v>
      </c>
      <c r="B910" s="2">
        <v>45720</v>
      </c>
      <c r="C910" t="s">
        <v>245</v>
      </c>
      <c r="D910" t="s">
        <v>16</v>
      </c>
      <c r="E910" t="s">
        <v>55</v>
      </c>
      <c r="F910" t="s">
        <v>24</v>
      </c>
      <c r="G910" t="s">
        <v>29</v>
      </c>
      <c r="H910">
        <v>14</v>
      </c>
      <c r="I910" s="3">
        <v>12000</v>
      </c>
      <c r="J910" s="3">
        <v>16500</v>
      </c>
      <c r="K910" s="3">
        <v>231000</v>
      </c>
      <c r="L910" s="3">
        <v>168000</v>
      </c>
      <c r="M910" s="3">
        <v>63000</v>
      </c>
      <c r="N910" s="5">
        <v>0.27272727272727271</v>
      </c>
    </row>
    <row r="911" spans="1:14" x14ac:dyDescent="0.3">
      <c r="A911" t="s">
        <v>1098</v>
      </c>
      <c r="B911" s="2">
        <v>45880</v>
      </c>
      <c r="C911" t="s">
        <v>218</v>
      </c>
      <c r="D911" t="s">
        <v>46</v>
      </c>
      <c r="E911" t="s">
        <v>36</v>
      </c>
      <c r="F911" t="s">
        <v>18</v>
      </c>
      <c r="G911" t="s">
        <v>60</v>
      </c>
      <c r="H911">
        <v>7</v>
      </c>
      <c r="I911" s="3">
        <v>1800</v>
      </c>
      <c r="J911" s="3">
        <v>2800</v>
      </c>
      <c r="K911" s="3">
        <v>19600</v>
      </c>
      <c r="L911" s="3">
        <v>12600</v>
      </c>
      <c r="M911" s="3">
        <v>7000</v>
      </c>
      <c r="N911" s="5">
        <v>0.35714285714285721</v>
      </c>
    </row>
    <row r="912" spans="1:14" x14ac:dyDescent="0.3">
      <c r="A912" t="s">
        <v>1099</v>
      </c>
      <c r="B912" s="2">
        <v>45743</v>
      </c>
      <c r="C912" t="s">
        <v>191</v>
      </c>
      <c r="D912" t="s">
        <v>46</v>
      </c>
      <c r="E912" t="s">
        <v>17</v>
      </c>
      <c r="F912" t="s">
        <v>24</v>
      </c>
      <c r="G912" t="s">
        <v>25</v>
      </c>
      <c r="H912">
        <v>9</v>
      </c>
      <c r="I912" s="3">
        <v>15000</v>
      </c>
      <c r="J912" s="3">
        <v>19500</v>
      </c>
      <c r="K912" s="3">
        <v>175500</v>
      </c>
      <c r="L912" s="3">
        <v>135000</v>
      </c>
      <c r="M912" s="3">
        <v>40500</v>
      </c>
      <c r="N912" s="5">
        <v>0.23076923076923081</v>
      </c>
    </row>
    <row r="913" spans="1:14" x14ac:dyDescent="0.3">
      <c r="A913" t="s">
        <v>1100</v>
      </c>
      <c r="B913" s="2">
        <v>45695</v>
      </c>
      <c r="C913" t="s">
        <v>75</v>
      </c>
      <c r="D913" t="s">
        <v>46</v>
      </c>
      <c r="E913" t="s">
        <v>36</v>
      </c>
      <c r="F913" t="s">
        <v>18</v>
      </c>
      <c r="G913" t="s">
        <v>19</v>
      </c>
      <c r="H913">
        <v>17</v>
      </c>
      <c r="I913" s="3">
        <v>1800</v>
      </c>
      <c r="J913" s="3">
        <v>2600</v>
      </c>
      <c r="K913" s="3">
        <v>44200</v>
      </c>
      <c r="L913" s="3">
        <v>30600</v>
      </c>
      <c r="M913" s="3">
        <v>13600</v>
      </c>
      <c r="N913" s="5">
        <v>0.30769230769230771</v>
      </c>
    </row>
    <row r="914" spans="1:14" x14ac:dyDescent="0.3">
      <c r="A914" t="s">
        <v>1101</v>
      </c>
      <c r="B914" s="2">
        <v>45978</v>
      </c>
      <c r="C914" t="s">
        <v>78</v>
      </c>
      <c r="D914" t="s">
        <v>16</v>
      </c>
      <c r="E914" t="s">
        <v>55</v>
      </c>
      <c r="F914" t="s">
        <v>18</v>
      </c>
      <c r="G914" t="s">
        <v>60</v>
      </c>
      <c r="H914">
        <v>14</v>
      </c>
      <c r="I914" s="3">
        <v>1800</v>
      </c>
      <c r="J914" s="3">
        <v>2800</v>
      </c>
      <c r="K914" s="3">
        <v>39200</v>
      </c>
      <c r="L914" s="3">
        <v>25200</v>
      </c>
      <c r="M914" s="3">
        <v>14000</v>
      </c>
      <c r="N914" s="5">
        <v>0.35714285714285721</v>
      </c>
    </row>
    <row r="915" spans="1:14" x14ac:dyDescent="0.3">
      <c r="A915" t="s">
        <v>1102</v>
      </c>
      <c r="B915" s="2">
        <v>45754</v>
      </c>
      <c r="C915" t="s">
        <v>609</v>
      </c>
      <c r="D915" t="s">
        <v>22</v>
      </c>
      <c r="E915" t="s">
        <v>55</v>
      </c>
      <c r="F915" t="s">
        <v>47</v>
      </c>
      <c r="G915" t="s">
        <v>48</v>
      </c>
      <c r="H915">
        <v>6</v>
      </c>
      <c r="I915" s="3">
        <v>2800</v>
      </c>
      <c r="J915" s="3">
        <v>4200</v>
      </c>
      <c r="K915" s="3">
        <v>25200</v>
      </c>
      <c r="L915" s="3">
        <v>16800</v>
      </c>
      <c r="M915" s="3">
        <v>8400</v>
      </c>
      <c r="N915" s="5">
        <v>0.33333333333333331</v>
      </c>
    </row>
    <row r="916" spans="1:14" x14ac:dyDescent="0.3">
      <c r="A916" t="s">
        <v>1103</v>
      </c>
      <c r="B916" s="2">
        <v>45672</v>
      </c>
      <c r="C916" t="s">
        <v>71</v>
      </c>
      <c r="D916" t="s">
        <v>22</v>
      </c>
      <c r="E916" t="s">
        <v>32</v>
      </c>
      <c r="F916" t="s">
        <v>18</v>
      </c>
      <c r="G916" t="s">
        <v>37</v>
      </c>
      <c r="H916">
        <v>5</v>
      </c>
      <c r="I916" s="3">
        <v>400</v>
      </c>
      <c r="J916" s="3">
        <v>650</v>
      </c>
      <c r="K916" s="3">
        <v>3250</v>
      </c>
      <c r="L916" s="3">
        <v>2000</v>
      </c>
      <c r="M916" s="3">
        <v>1250</v>
      </c>
      <c r="N916" s="5">
        <v>0.38461538461538458</v>
      </c>
    </row>
    <row r="917" spans="1:14" x14ac:dyDescent="0.3">
      <c r="A917" t="s">
        <v>1104</v>
      </c>
      <c r="B917" s="2">
        <v>45941</v>
      </c>
      <c r="C917" t="s">
        <v>67</v>
      </c>
      <c r="D917" t="s">
        <v>22</v>
      </c>
      <c r="E917" t="s">
        <v>32</v>
      </c>
      <c r="F917" t="s">
        <v>47</v>
      </c>
      <c r="G917" t="s">
        <v>48</v>
      </c>
      <c r="H917">
        <v>6</v>
      </c>
      <c r="I917" s="3">
        <v>2800</v>
      </c>
      <c r="J917" s="3">
        <v>4200</v>
      </c>
      <c r="K917" s="3">
        <v>25200</v>
      </c>
      <c r="L917" s="3">
        <v>16800</v>
      </c>
      <c r="M917" s="3">
        <v>8400</v>
      </c>
      <c r="N917" s="5">
        <v>0.33333333333333331</v>
      </c>
    </row>
    <row r="918" spans="1:14" x14ac:dyDescent="0.3">
      <c r="A918" t="s">
        <v>1105</v>
      </c>
      <c r="B918" s="2">
        <v>45773</v>
      </c>
      <c r="C918" t="s">
        <v>472</v>
      </c>
      <c r="D918" t="s">
        <v>40</v>
      </c>
      <c r="E918" t="s">
        <v>17</v>
      </c>
      <c r="F918" t="s">
        <v>18</v>
      </c>
      <c r="G918" t="s">
        <v>72</v>
      </c>
      <c r="H918">
        <v>9</v>
      </c>
      <c r="I918" s="3">
        <v>900</v>
      </c>
      <c r="J918" s="3">
        <v>1500</v>
      </c>
      <c r="K918" s="3">
        <v>13500</v>
      </c>
      <c r="L918" s="3">
        <v>8100</v>
      </c>
      <c r="M918" s="3">
        <v>5400</v>
      </c>
      <c r="N918" s="5">
        <v>0.4</v>
      </c>
    </row>
    <row r="919" spans="1:14" x14ac:dyDescent="0.3">
      <c r="A919" t="s">
        <v>1106</v>
      </c>
      <c r="B919" s="2">
        <v>46012</v>
      </c>
      <c r="C919" t="s">
        <v>91</v>
      </c>
      <c r="D919" t="s">
        <v>46</v>
      </c>
      <c r="E919" t="s">
        <v>55</v>
      </c>
      <c r="F919" t="s">
        <v>47</v>
      </c>
      <c r="G919" t="s">
        <v>48</v>
      </c>
      <c r="H919">
        <v>16</v>
      </c>
      <c r="I919" s="3">
        <v>2800</v>
      </c>
      <c r="J919" s="3">
        <v>4200</v>
      </c>
      <c r="K919" s="3">
        <v>67200</v>
      </c>
      <c r="L919" s="3">
        <v>44800</v>
      </c>
      <c r="M919" s="3">
        <v>22400</v>
      </c>
      <c r="N919" s="5">
        <v>0.33333333333333331</v>
      </c>
    </row>
    <row r="920" spans="1:14" x14ac:dyDescent="0.3">
      <c r="A920" t="s">
        <v>1107</v>
      </c>
      <c r="B920" s="2">
        <v>45944</v>
      </c>
      <c r="C920" t="s">
        <v>374</v>
      </c>
      <c r="D920" t="s">
        <v>46</v>
      </c>
      <c r="E920" t="s">
        <v>36</v>
      </c>
      <c r="F920" t="s">
        <v>18</v>
      </c>
      <c r="G920" t="s">
        <v>19</v>
      </c>
      <c r="H920">
        <v>19</v>
      </c>
      <c r="I920" s="3">
        <v>1800</v>
      </c>
      <c r="J920" s="3">
        <v>2600</v>
      </c>
      <c r="K920" s="3">
        <v>49400</v>
      </c>
      <c r="L920" s="3">
        <v>34200</v>
      </c>
      <c r="M920" s="3">
        <v>15200</v>
      </c>
      <c r="N920" s="5">
        <v>0.30769230769230771</v>
      </c>
    </row>
    <row r="921" spans="1:14" x14ac:dyDescent="0.3">
      <c r="A921" t="s">
        <v>1108</v>
      </c>
      <c r="B921" s="2">
        <v>45943</v>
      </c>
      <c r="C921" t="s">
        <v>116</v>
      </c>
      <c r="D921" t="s">
        <v>35</v>
      </c>
      <c r="E921" t="s">
        <v>32</v>
      </c>
      <c r="F921" t="s">
        <v>24</v>
      </c>
      <c r="G921" t="s">
        <v>29</v>
      </c>
      <c r="H921">
        <v>8</v>
      </c>
      <c r="I921" s="3">
        <v>12000</v>
      </c>
      <c r="J921" s="3">
        <v>16500</v>
      </c>
      <c r="K921" s="3">
        <v>132000</v>
      </c>
      <c r="L921" s="3">
        <v>96000</v>
      </c>
      <c r="M921" s="3">
        <v>36000</v>
      </c>
      <c r="N921" s="5">
        <v>0.27272727272727271</v>
      </c>
    </row>
    <row r="922" spans="1:14" x14ac:dyDescent="0.3">
      <c r="A922" t="s">
        <v>1109</v>
      </c>
      <c r="B922" s="2">
        <v>45946</v>
      </c>
      <c r="C922" t="s">
        <v>80</v>
      </c>
      <c r="D922" t="s">
        <v>22</v>
      </c>
      <c r="E922" t="s">
        <v>55</v>
      </c>
      <c r="F922" t="s">
        <v>24</v>
      </c>
      <c r="G922" t="s">
        <v>25</v>
      </c>
      <c r="H922">
        <v>8</v>
      </c>
      <c r="I922" s="3">
        <v>15000</v>
      </c>
      <c r="J922" s="3">
        <v>19500</v>
      </c>
      <c r="K922" s="3">
        <v>156000</v>
      </c>
      <c r="L922" s="3">
        <v>120000</v>
      </c>
      <c r="M922" s="3">
        <v>36000</v>
      </c>
      <c r="N922" s="5">
        <v>0.23076923076923081</v>
      </c>
    </row>
    <row r="923" spans="1:14" x14ac:dyDescent="0.3">
      <c r="A923" t="s">
        <v>1110</v>
      </c>
      <c r="B923" s="2">
        <v>45803</v>
      </c>
      <c r="C923" t="s">
        <v>487</v>
      </c>
      <c r="D923" t="s">
        <v>46</v>
      </c>
      <c r="E923" t="s">
        <v>23</v>
      </c>
      <c r="F923" t="s">
        <v>24</v>
      </c>
      <c r="G923" t="s">
        <v>63</v>
      </c>
      <c r="H923">
        <v>5</v>
      </c>
      <c r="I923" s="3">
        <v>42000</v>
      </c>
      <c r="J923" s="3">
        <v>55000</v>
      </c>
      <c r="K923" s="3">
        <v>275000</v>
      </c>
      <c r="L923" s="3">
        <v>210000</v>
      </c>
      <c r="M923" s="3">
        <v>65000</v>
      </c>
      <c r="N923" s="5">
        <v>0.23636363636363639</v>
      </c>
    </row>
    <row r="924" spans="1:14" x14ac:dyDescent="0.3">
      <c r="A924" t="s">
        <v>1111</v>
      </c>
      <c r="B924" s="2">
        <v>45767</v>
      </c>
      <c r="C924" t="s">
        <v>140</v>
      </c>
      <c r="D924" t="s">
        <v>22</v>
      </c>
      <c r="E924" t="s">
        <v>28</v>
      </c>
      <c r="F924" t="s">
        <v>24</v>
      </c>
      <c r="G924" t="s">
        <v>25</v>
      </c>
      <c r="H924">
        <v>6</v>
      </c>
      <c r="I924" s="3">
        <v>15000</v>
      </c>
      <c r="J924" s="3">
        <v>19500</v>
      </c>
      <c r="K924" s="3">
        <v>117000</v>
      </c>
      <c r="L924" s="3">
        <v>90000</v>
      </c>
      <c r="M924" s="3">
        <v>27000</v>
      </c>
      <c r="N924" s="5">
        <v>0.23076923076923081</v>
      </c>
    </row>
    <row r="925" spans="1:14" x14ac:dyDescent="0.3">
      <c r="A925" t="s">
        <v>1112</v>
      </c>
      <c r="B925" s="2">
        <v>45722</v>
      </c>
      <c r="C925" t="s">
        <v>21</v>
      </c>
      <c r="D925" t="s">
        <v>35</v>
      </c>
      <c r="E925" t="s">
        <v>23</v>
      </c>
      <c r="F925" t="s">
        <v>41</v>
      </c>
      <c r="G925" t="s">
        <v>42</v>
      </c>
      <c r="H925">
        <v>20</v>
      </c>
      <c r="I925" s="3">
        <v>8500</v>
      </c>
      <c r="J925" s="3">
        <v>12000</v>
      </c>
      <c r="K925" s="3">
        <v>240000</v>
      </c>
      <c r="L925" s="3">
        <v>170000</v>
      </c>
      <c r="M925" s="3">
        <v>70000</v>
      </c>
      <c r="N925" s="5">
        <v>0.29166666666666669</v>
      </c>
    </row>
    <row r="926" spans="1:14" x14ac:dyDescent="0.3">
      <c r="A926" t="s">
        <v>1113</v>
      </c>
      <c r="B926" s="2">
        <v>45935</v>
      </c>
      <c r="C926" t="s">
        <v>259</v>
      </c>
      <c r="D926" t="s">
        <v>40</v>
      </c>
      <c r="E926" t="s">
        <v>17</v>
      </c>
      <c r="F926" t="s">
        <v>41</v>
      </c>
      <c r="G926" t="s">
        <v>42</v>
      </c>
      <c r="H926">
        <v>10</v>
      </c>
      <c r="I926" s="3">
        <v>8500</v>
      </c>
      <c r="J926" s="3">
        <v>12000</v>
      </c>
      <c r="K926" s="3">
        <v>120000</v>
      </c>
      <c r="L926" s="3">
        <v>85000</v>
      </c>
      <c r="M926" s="3">
        <v>35000</v>
      </c>
      <c r="N926" s="5">
        <v>0.29166666666666669</v>
      </c>
    </row>
    <row r="927" spans="1:14" x14ac:dyDescent="0.3">
      <c r="A927" t="s">
        <v>1114</v>
      </c>
      <c r="B927" s="2">
        <v>45844</v>
      </c>
      <c r="C927" t="s">
        <v>65</v>
      </c>
      <c r="D927" t="s">
        <v>40</v>
      </c>
      <c r="E927" t="s">
        <v>36</v>
      </c>
      <c r="F927" t="s">
        <v>18</v>
      </c>
      <c r="G927" t="s">
        <v>19</v>
      </c>
      <c r="H927">
        <v>20</v>
      </c>
      <c r="I927" s="3">
        <v>1800</v>
      </c>
      <c r="J927" s="3">
        <v>2600</v>
      </c>
      <c r="K927" s="3">
        <v>52000</v>
      </c>
      <c r="L927" s="3">
        <v>36000</v>
      </c>
      <c r="M927" s="3">
        <v>16000</v>
      </c>
      <c r="N927" s="5">
        <v>0.30769230769230771</v>
      </c>
    </row>
    <row r="928" spans="1:14" x14ac:dyDescent="0.3">
      <c r="A928" t="s">
        <v>1115</v>
      </c>
      <c r="B928" s="2">
        <v>45739</v>
      </c>
      <c r="C928" t="s">
        <v>136</v>
      </c>
      <c r="D928" t="s">
        <v>16</v>
      </c>
      <c r="E928" t="s">
        <v>23</v>
      </c>
      <c r="F928" t="s">
        <v>18</v>
      </c>
      <c r="G928" t="s">
        <v>76</v>
      </c>
      <c r="H928">
        <v>12</v>
      </c>
      <c r="I928" s="3">
        <v>2500</v>
      </c>
      <c r="J928" s="3">
        <v>3600</v>
      </c>
      <c r="K928" s="3">
        <v>43200</v>
      </c>
      <c r="L928" s="3">
        <v>30000</v>
      </c>
      <c r="M928" s="3">
        <v>13200</v>
      </c>
      <c r="N928" s="5">
        <v>0.30555555555555558</v>
      </c>
    </row>
    <row r="929" spans="1:14" x14ac:dyDescent="0.3">
      <c r="A929" t="s">
        <v>1116</v>
      </c>
      <c r="B929" s="2">
        <v>45988</v>
      </c>
      <c r="C929" t="s">
        <v>270</v>
      </c>
      <c r="D929" t="s">
        <v>16</v>
      </c>
      <c r="E929" t="s">
        <v>32</v>
      </c>
      <c r="F929" t="s">
        <v>24</v>
      </c>
      <c r="G929" t="s">
        <v>63</v>
      </c>
      <c r="H929">
        <v>12</v>
      </c>
      <c r="I929" s="3">
        <v>42000</v>
      </c>
      <c r="J929" s="3">
        <v>55000</v>
      </c>
      <c r="K929" s="3">
        <v>660000</v>
      </c>
      <c r="L929" s="3">
        <v>504000</v>
      </c>
      <c r="M929" s="3">
        <v>156000</v>
      </c>
      <c r="N929" s="5">
        <v>0.23636363636363639</v>
      </c>
    </row>
    <row r="930" spans="1:14" x14ac:dyDescent="0.3">
      <c r="A930" t="s">
        <v>1117</v>
      </c>
      <c r="B930" s="2">
        <v>45660</v>
      </c>
      <c r="C930" t="s">
        <v>218</v>
      </c>
      <c r="D930" t="s">
        <v>22</v>
      </c>
      <c r="E930" t="s">
        <v>36</v>
      </c>
      <c r="F930" t="s">
        <v>41</v>
      </c>
      <c r="G930" t="s">
        <v>42</v>
      </c>
      <c r="H930">
        <v>3</v>
      </c>
      <c r="I930" s="3">
        <v>8500</v>
      </c>
      <c r="J930" s="3">
        <v>12000</v>
      </c>
      <c r="K930" s="3">
        <v>36000</v>
      </c>
      <c r="L930" s="3">
        <v>25500</v>
      </c>
      <c r="M930" s="3">
        <v>10500</v>
      </c>
      <c r="N930" s="5">
        <v>0.29166666666666669</v>
      </c>
    </row>
    <row r="931" spans="1:14" x14ac:dyDescent="0.3">
      <c r="A931" t="s">
        <v>1118</v>
      </c>
      <c r="B931" s="2">
        <v>45972</v>
      </c>
      <c r="C931" t="s">
        <v>274</v>
      </c>
      <c r="D931" t="s">
        <v>40</v>
      </c>
      <c r="E931" t="s">
        <v>55</v>
      </c>
      <c r="F931" t="s">
        <v>18</v>
      </c>
      <c r="G931" t="s">
        <v>19</v>
      </c>
      <c r="H931">
        <v>3</v>
      </c>
      <c r="I931" s="3">
        <v>1800</v>
      </c>
      <c r="J931" s="3">
        <v>2600</v>
      </c>
      <c r="K931" s="3">
        <v>7800</v>
      </c>
      <c r="L931" s="3">
        <v>5400</v>
      </c>
      <c r="M931" s="3">
        <v>2400</v>
      </c>
      <c r="N931" s="5">
        <v>0.30769230769230771</v>
      </c>
    </row>
    <row r="932" spans="1:14" x14ac:dyDescent="0.3">
      <c r="A932" t="s">
        <v>1119</v>
      </c>
      <c r="B932" s="2">
        <v>45923</v>
      </c>
      <c r="C932" t="s">
        <v>221</v>
      </c>
      <c r="D932" t="s">
        <v>35</v>
      </c>
      <c r="E932" t="s">
        <v>23</v>
      </c>
      <c r="F932" t="s">
        <v>18</v>
      </c>
      <c r="G932" t="s">
        <v>72</v>
      </c>
      <c r="H932">
        <v>1</v>
      </c>
      <c r="I932" s="3">
        <v>900</v>
      </c>
      <c r="J932" s="3">
        <v>1500</v>
      </c>
      <c r="K932" s="3">
        <v>1500</v>
      </c>
      <c r="L932" s="3">
        <v>900</v>
      </c>
      <c r="M932" s="3">
        <v>600</v>
      </c>
      <c r="N932" s="5">
        <v>0.4</v>
      </c>
    </row>
    <row r="933" spans="1:14" x14ac:dyDescent="0.3">
      <c r="A933" t="s">
        <v>1120</v>
      </c>
      <c r="B933" s="2">
        <v>45847</v>
      </c>
      <c r="C933" t="s">
        <v>552</v>
      </c>
      <c r="D933" t="s">
        <v>22</v>
      </c>
      <c r="E933" t="s">
        <v>36</v>
      </c>
      <c r="F933" t="s">
        <v>18</v>
      </c>
      <c r="G933" t="s">
        <v>37</v>
      </c>
      <c r="H933">
        <v>10</v>
      </c>
      <c r="I933" s="3">
        <v>400</v>
      </c>
      <c r="J933" s="3">
        <v>650</v>
      </c>
      <c r="K933" s="3">
        <v>6500</v>
      </c>
      <c r="L933" s="3">
        <v>4000</v>
      </c>
      <c r="M933" s="3">
        <v>2500</v>
      </c>
      <c r="N933" s="5">
        <v>0.38461538461538458</v>
      </c>
    </row>
    <row r="934" spans="1:14" x14ac:dyDescent="0.3">
      <c r="A934" t="s">
        <v>1121</v>
      </c>
      <c r="B934" s="2">
        <v>45662</v>
      </c>
      <c r="C934" t="s">
        <v>195</v>
      </c>
      <c r="D934" t="s">
        <v>40</v>
      </c>
      <c r="E934" t="s">
        <v>36</v>
      </c>
      <c r="F934" t="s">
        <v>24</v>
      </c>
      <c r="G934" t="s">
        <v>25</v>
      </c>
      <c r="H934">
        <v>5</v>
      </c>
      <c r="I934" s="3">
        <v>15000</v>
      </c>
      <c r="J934" s="3">
        <v>19500</v>
      </c>
      <c r="K934" s="3">
        <v>97500</v>
      </c>
      <c r="L934" s="3">
        <v>75000</v>
      </c>
      <c r="M934" s="3">
        <v>22500</v>
      </c>
      <c r="N934" s="5">
        <v>0.23076923076923081</v>
      </c>
    </row>
    <row r="935" spans="1:14" x14ac:dyDescent="0.3">
      <c r="A935" t="s">
        <v>1122</v>
      </c>
      <c r="B935" s="2">
        <v>45707</v>
      </c>
      <c r="C935" t="s">
        <v>178</v>
      </c>
      <c r="D935" t="s">
        <v>40</v>
      </c>
      <c r="E935" t="s">
        <v>17</v>
      </c>
      <c r="F935" t="s">
        <v>18</v>
      </c>
      <c r="G935" t="s">
        <v>37</v>
      </c>
      <c r="H935">
        <v>15</v>
      </c>
      <c r="I935" s="3">
        <v>400</v>
      </c>
      <c r="J935" s="3">
        <v>650</v>
      </c>
      <c r="K935" s="3">
        <v>9750</v>
      </c>
      <c r="L935" s="3">
        <v>6000</v>
      </c>
      <c r="M935" s="3">
        <v>3750</v>
      </c>
      <c r="N935" s="5">
        <v>0.38461538461538458</v>
      </c>
    </row>
    <row r="936" spans="1:14" x14ac:dyDescent="0.3">
      <c r="A936" t="s">
        <v>1123</v>
      </c>
      <c r="B936" s="2">
        <v>45967</v>
      </c>
      <c r="C936" t="s">
        <v>272</v>
      </c>
      <c r="D936" t="s">
        <v>40</v>
      </c>
      <c r="E936" t="s">
        <v>55</v>
      </c>
      <c r="F936" t="s">
        <v>18</v>
      </c>
      <c r="G936" t="s">
        <v>76</v>
      </c>
      <c r="H936">
        <v>13</v>
      </c>
      <c r="I936" s="3">
        <v>2500</v>
      </c>
      <c r="J936" s="3">
        <v>3600</v>
      </c>
      <c r="K936" s="3">
        <v>46800</v>
      </c>
      <c r="L936" s="3">
        <v>32500</v>
      </c>
      <c r="M936" s="3">
        <v>14300</v>
      </c>
      <c r="N936" s="5">
        <v>0.30555555555555558</v>
      </c>
    </row>
    <row r="937" spans="1:14" x14ac:dyDescent="0.3">
      <c r="A937" t="s">
        <v>1124</v>
      </c>
      <c r="B937" s="2">
        <v>45814</v>
      </c>
      <c r="C937" t="s">
        <v>918</v>
      </c>
      <c r="D937" t="s">
        <v>40</v>
      </c>
      <c r="E937" t="s">
        <v>55</v>
      </c>
      <c r="F937" t="s">
        <v>24</v>
      </c>
      <c r="G937" t="s">
        <v>25</v>
      </c>
      <c r="H937">
        <v>19</v>
      </c>
      <c r="I937" s="3">
        <v>15000</v>
      </c>
      <c r="J937" s="3">
        <v>19500</v>
      </c>
      <c r="K937" s="3">
        <v>370500</v>
      </c>
      <c r="L937" s="3">
        <v>285000</v>
      </c>
      <c r="M937" s="3">
        <v>85500</v>
      </c>
      <c r="N937" s="5">
        <v>0.23076923076923081</v>
      </c>
    </row>
    <row r="938" spans="1:14" x14ac:dyDescent="0.3">
      <c r="A938" t="s">
        <v>1125</v>
      </c>
      <c r="B938" s="2">
        <v>45658</v>
      </c>
      <c r="C938" t="s">
        <v>317</v>
      </c>
      <c r="D938" t="s">
        <v>35</v>
      </c>
      <c r="E938" t="s">
        <v>36</v>
      </c>
      <c r="F938" t="s">
        <v>18</v>
      </c>
      <c r="G938" t="s">
        <v>19</v>
      </c>
      <c r="H938">
        <v>13</v>
      </c>
      <c r="I938" s="3">
        <v>1800</v>
      </c>
      <c r="J938" s="3">
        <v>2600</v>
      </c>
      <c r="K938" s="3">
        <v>33800</v>
      </c>
      <c r="L938" s="3">
        <v>23400</v>
      </c>
      <c r="M938" s="3">
        <v>10400</v>
      </c>
      <c r="N938" s="5">
        <v>0.30769230769230771</v>
      </c>
    </row>
    <row r="939" spans="1:14" x14ac:dyDescent="0.3">
      <c r="A939" t="s">
        <v>1126</v>
      </c>
      <c r="B939" s="2">
        <v>45670</v>
      </c>
      <c r="C939" t="s">
        <v>424</v>
      </c>
      <c r="D939" t="s">
        <v>35</v>
      </c>
      <c r="E939" t="s">
        <v>32</v>
      </c>
      <c r="F939" t="s">
        <v>18</v>
      </c>
      <c r="G939" t="s">
        <v>37</v>
      </c>
      <c r="H939">
        <v>20</v>
      </c>
      <c r="I939" s="3">
        <v>400</v>
      </c>
      <c r="J939" s="3">
        <v>650</v>
      </c>
      <c r="K939" s="3">
        <v>13000</v>
      </c>
      <c r="L939" s="3">
        <v>8000</v>
      </c>
      <c r="M939" s="3">
        <v>5000</v>
      </c>
      <c r="N939" s="5">
        <v>0.38461538461538458</v>
      </c>
    </row>
    <row r="940" spans="1:14" x14ac:dyDescent="0.3">
      <c r="A940" t="s">
        <v>1127</v>
      </c>
      <c r="B940" s="2">
        <v>45701</v>
      </c>
      <c r="C940" t="s">
        <v>259</v>
      </c>
      <c r="D940" t="s">
        <v>16</v>
      </c>
      <c r="E940" t="s">
        <v>17</v>
      </c>
      <c r="F940" t="s">
        <v>24</v>
      </c>
      <c r="G940" t="s">
        <v>63</v>
      </c>
      <c r="H940">
        <v>19</v>
      </c>
      <c r="I940" s="3">
        <v>42000</v>
      </c>
      <c r="J940" s="3">
        <v>55000</v>
      </c>
      <c r="K940" s="3">
        <v>1045000</v>
      </c>
      <c r="L940" s="3">
        <v>798000</v>
      </c>
      <c r="M940" s="3">
        <v>247000</v>
      </c>
      <c r="N940" s="5">
        <v>0.23636363636363639</v>
      </c>
    </row>
    <row r="941" spans="1:14" x14ac:dyDescent="0.3">
      <c r="A941" t="s">
        <v>1128</v>
      </c>
      <c r="B941" s="2">
        <v>45743</v>
      </c>
      <c r="C941" t="s">
        <v>175</v>
      </c>
      <c r="D941" t="s">
        <v>40</v>
      </c>
      <c r="E941" t="s">
        <v>32</v>
      </c>
      <c r="F941" t="s">
        <v>18</v>
      </c>
      <c r="G941" t="s">
        <v>19</v>
      </c>
      <c r="H941">
        <v>6</v>
      </c>
      <c r="I941" s="3">
        <v>1800</v>
      </c>
      <c r="J941" s="3">
        <v>2600</v>
      </c>
      <c r="K941" s="3">
        <v>15600</v>
      </c>
      <c r="L941" s="3">
        <v>10800</v>
      </c>
      <c r="M941" s="3">
        <v>4800</v>
      </c>
      <c r="N941" s="5">
        <v>0.30769230769230771</v>
      </c>
    </row>
    <row r="942" spans="1:14" x14ac:dyDescent="0.3">
      <c r="A942" t="s">
        <v>1129</v>
      </c>
      <c r="B942" s="2">
        <v>45952</v>
      </c>
      <c r="C942" t="s">
        <v>361</v>
      </c>
      <c r="D942" t="s">
        <v>40</v>
      </c>
      <c r="E942" t="s">
        <v>55</v>
      </c>
      <c r="F942" t="s">
        <v>18</v>
      </c>
      <c r="G942" t="s">
        <v>37</v>
      </c>
      <c r="H942">
        <v>20</v>
      </c>
      <c r="I942" s="3">
        <v>400</v>
      </c>
      <c r="J942" s="3">
        <v>650</v>
      </c>
      <c r="K942" s="3">
        <v>13000</v>
      </c>
      <c r="L942" s="3">
        <v>8000</v>
      </c>
      <c r="M942" s="3">
        <v>5000</v>
      </c>
      <c r="N942" s="5">
        <v>0.38461538461538458</v>
      </c>
    </row>
    <row r="943" spans="1:14" x14ac:dyDescent="0.3">
      <c r="A943" t="s">
        <v>1130</v>
      </c>
      <c r="B943" s="2">
        <v>45791</v>
      </c>
      <c r="C943" t="s">
        <v>235</v>
      </c>
      <c r="D943" t="s">
        <v>22</v>
      </c>
      <c r="E943" t="s">
        <v>36</v>
      </c>
      <c r="F943" t="s">
        <v>47</v>
      </c>
      <c r="G943" t="s">
        <v>48</v>
      </c>
      <c r="H943">
        <v>13</v>
      </c>
      <c r="I943" s="3">
        <v>2800</v>
      </c>
      <c r="J943" s="3">
        <v>4200</v>
      </c>
      <c r="K943" s="3">
        <v>54600</v>
      </c>
      <c r="L943" s="3">
        <v>36400</v>
      </c>
      <c r="M943" s="3">
        <v>18200</v>
      </c>
      <c r="N943" s="5">
        <v>0.33333333333333331</v>
      </c>
    </row>
    <row r="944" spans="1:14" x14ac:dyDescent="0.3">
      <c r="A944" t="s">
        <v>1131</v>
      </c>
      <c r="B944" s="2">
        <v>45893</v>
      </c>
      <c r="C944" t="s">
        <v>918</v>
      </c>
      <c r="D944" t="s">
        <v>46</v>
      </c>
      <c r="E944" t="s">
        <v>28</v>
      </c>
      <c r="F944" t="s">
        <v>41</v>
      </c>
      <c r="G944" t="s">
        <v>42</v>
      </c>
      <c r="H944">
        <v>3</v>
      </c>
      <c r="I944" s="3">
        <v>8500</v>
      </c>
      <c r="J944" s="3">
        <v>12000</v>
      </c>
      <c r="K944" s="3">
        <v>36000</v>
      </c>
      <c r="L944" s="3">
        <v>25500</v>
      </c>
      <c r="M944" s="3">
        <v>10500</v>
      </c>
      <c r="N944" s="5">
        <v>0.29166666666666669</v>
      </c>
    </row>
    <row r="945" spans="1:14" x14ac:dyDescent="0.3">
      <c r="A945" t="s">
        <v>1132</v>
      </c>
      <c r="B945" s="2">
        <v>45892</v>
      </c>
      <c r="C945" t="s">
        <v>538</v>
      </c>
      <c r="D945" t="s">
        <v>46</v>
      </c>
      <c r="E945" t="s">
        <v>36</v>
      </c>
      <c r="F945" t="s">
        <v>18</v>
      </c>
      <c r="G945" t="s">
        <v>19</v>
      </c>
      <c r="H945">
        <v>12</v>
      </c>
      <c r="I945" s="3">
        <v>1800</v>
      </c>
      <c r="J945" s="3">
        <v>2600</v>
      </c>
      <c r="K945" s="3">
        <v>31200</v>
      </c>
      <c r="L945" s="3">
        <v>21600</v>
      </c>
      <c r="M945" s="3">
        <v>9600</v>
      </c>
      <c r="N945" s="5">
        <v>0.30769230769230771</v>
      </c>
    </row>
    <row r="946" spans="1:14" x14ac:dyDescent="0.3">
      <c r="A946" t="s">
        <v>1133</v>
      </c>
      <c r="B946" s="2">
        <v>45921</v>
      </c>
      <c r="C946" t="s">
        <v>27</v>
      </c>
      <c r="D946" t="s">
        <v>16</v>
      </c>
      <c r="E946" t="s">
        <v>23</v>
      </c>
      <c r="F946" t="s">
        <v>18</v>
      </c>
      <c r="G946" t="s">
        <v>72</v>
      </c>
      <c r="H946">
        <v>7</v>
      </c>
      <c r="I946" s="3">
        <v>900</v>
      </c>
      <c r="J946" s="3">
        <v>1500</v>
      </c>
      <c r="K946" s="3">
        <v>10500</v>
      </c>
      <c r="L946" s="3">
        <v>6300</v>
      </c>
      <c r="M946" s="3">
        <v>4200</v>
      </c>
      <c r="N946" s="5">
        <v>0.4</v>
      </c>
    </row>
    <row r="947" spans="1:14" x14ac:dyDescent="0.3">
      <c r="A947" t="s">
        <v>1134</v>
      </c>
      <c r="B947" s="2">
        <v>45737</v>
      </c>
      <c r="C947" t="s">
        <v>238</v>
      </c>
      <c r="D947" t="s">
        <v>35</v>
      </c>
      <c r="E947" t="s">
        <v>55</v>
      </c>
      <c r="F947" t="s">
        <v>24</v>
      </c>
      <c r="G947" t="s">
        <v>29</v>
      </c>
      <c r="H947">
        <v>16</v>
      </c>
      <c r="I947" s="3">
        <v>12000</v>
      </c>
      <c r="J947" s="3">
        <v>16500</v>
      </c>
      <c r="K947" s="3">
        <v>264000</v>
      </c>
      <c r="L947" s="3">
        <v>192000</v>
      </c>
      <c r="M947" s="3">
        <v>72000</v>
      </c>
      <c r="N947" s="5">
        <v>0.27272727272727271</v>
      </c>
    </row>
    <row r="948" spans="1:14" x14ac:dyDescent="0.3">
      <c r="A948" t="s">
        <v>1135</v>
      </c>
      <c r="B948" s="2">
        <v>45966</v>
      </c>
      <c r="C948" t="s">
        <v>538</v>
      </c>
      <c r="D948" t="s">
        <v>40</v>
      </c>
      <c r="E948" t="s">
        <v>36</v>
      </c>
      <c r="F948" t="s">
        <v>18</v>
      </c>
      <c r="G948" t="s">
        <v>60</v>
      </c>
      <c r="H948">
        <v>7</v>
      </c>
      <c r="I948" s="3">
        <v>1800</v>
      </c>
      <c r="J948" s="3">
        <v>2800</v>
      </c>
      <c r="K948" s="3">
        <v>19600</v>
      </c>
      <c r="L948" s="3">
        <v>12600</v>
      </c>
      <c r="M948" s="3">
        <v>7000</v>
      </c>
      <c r="N948" s="5">
        <v>0.35714285714285721</v>
      </c>
    </row>
    <row r="949" spans="1:14" x14ac:dyDescent="0.3">
      <c r="A949" t="s">
        <v>1136</v>
      </c>
      <c r="B949" s="2">
        <v>45675</v>
      </c>
      <c r="C949" t="s">
        <v>506</v>
      </c>
      <c r="D949" t="s">
        <v>40</v>
      </c>
      <c r="E949" t="s">
        <v>36</v>
      </c>
      <c r="F949" t="s">
        <v>18</v>
      </c>
      <c r="G949" t="s">
        <v>60</v>
      </c>
      <c r="H949">
        <v>12</v>
      </c>
      <c r="I949" s="3">
        <v>1800</v>
      </c>
      <c r="J949" s="3">
        <v>2800</v>
      </c>
      <c r="K949" s="3">
        <v>33600</v>
      </c>
      <c r="L949" s="3">
        <v>21600</v>
      </c>
      <c r="M949" s="3">
        <v>12000</v>
      </c>
      <c r="N949" s="5">
        <v>0.35714285714285721</v>
      </c>
    </row>
    <row r="950" spans="1:14" x14ac:dyDescent="0.3">
      <c r="A950" t="s">
        <v>1137</v>
      </c>
      <c r="B950" s="2">
        <v>45878</v>
      </c>
      <c r="C950" t="s">
        <v>151</v>
      </c>
      <c r="D950" t="s">
        <v>46</v>
      </c>
      <c r="E950" t="s">
        <v>23</v>
      </c>
      <c r="F950" t="s">
        <v>41</v>
      </c>
      <c r="G950" t="s">
        <v>42</v>
      </c>
      <c r="H950">
        <v>16</v>
      </c>
      <c r="I950" s="3">
        <v>8500</v>
      </c>
      <c r="J950" s="3">
        <v>12000</v>
      </c>
      <c r="K950" s="3">
        <v>192000</v>
      </c>
      <c r="L950" s="3">
        <v>136000</v>
      </c>
      <c r="M950" s="3">
        <v>56000</v>
      </c>
      <c r="N950" s="5">
        <v>0.29166666666666669</v>
      </c>
    </row>
    <row r="951" spans="1:14" x14ac:dyDescent="0.3">
      <c r="A951" t="s">
        <v>1138</v>
      </c>
      <c r="B951" s="2">
        <v>45882</v>
      </c>
      <c r="C951" t="s">
        <v>294</v>
      </c>
      <c r="D951" t="s">
        <v>46</v>
      </c>
      <c r="E951" t="s">
        <v>17</v>
      </c>
      <c r="F951" t="s">
        <v>18</v>
      </c>
      <c r="G951" t="s">
        <v>37</v>
      </c>
      <c r="H951">
        <v>12</v>
      </c>
      <c r="I951" s="3">
        <v>400</v>
      </c>
      <c r="J951" s="3">
        <v>650</v>
      </c>
      <c r="K951" s="3">
        <v>7800</v>
      </c>
      <c r="L951" s="3">
        <v>4800</v>
      </c>
      <c r="M951" s="3">
        <v>3000</v>
      </c>
      <c r="N951" s="5">
        <v>0.38461538461538458</v>
      </c>
    </row>
    <row r="952" spans="1:14" x14ac:dyDescent="0.3">
      <c r="A952" t="s">
        <v>1139</v>
      </c>
      <c r="B952" s="2">
        <v>45887</v>
      </c>
      <c r="C952" t="s">
        <v>97</v>
      </c>
      <c r="D952" t="s">
        <v>22</v>
      </c>
      <c r="E952" t="s">
        <v>36</v>
      </c>
      <c r="F952" t="s">
        <v>47</v>
      </c>
      <c r="G952" t="s">
        <v>48</v>
      </c>
      <c r="H952">
        <v>1</v>
      </c>
      <c r="I952" s="3">
        <v>2800</v>
      </c>
      <c r="J952" s="3">
        <v>4200</v>
      </c>
      <c r="K952" s="3">
        <v>4200</v>
      </c>
      <c r="L952" s="3">
        <v>2800</v>
      </c>
      <c r="M952" s="3">
        <v>1400</v>
      </c>
      <c r="N952" s="5">
        <v>0.33333333333333331</v>
      </c>
    </row>
    <row r="953" spans="1:14" x14ac:dyDescent="0.3">
      <c r="A953" t="s">
        <v>1140</v>
      </c>
      <c r="B953" s="2">
        <v>45847</v>
      </c>
      <c r="C953" t="s">
        <v>140</v>
      </c>
      <c r="D953" t="s">
        <v>46</v>
      </c>
      <c r="E953" t="s">
        <v>17</v>
      </c>
      <c r="F953" t="s">
        <v>18</v>
      </c>
      <c r="G953" t="s">
        <v>19</v>
      </c>
      <c r="H953">
        <v>8</v>
      </c>
      <c r="I953" s="3">
        <v>1800</v>
      </c>
      <c r="J953" s="3">
        <v>2600</v>
      </c>
      <c r="K953" s="3">
        <v>20800</v>
      </c>
      <c r="L953" s="3">
        <v>14400</v>
      </c>
      <c r="M953" s="3">
        <v>6400</v>
      </c>
      <c r="N953" s="5">
        <v>0.30769230769230771</v>
      </c>
    </row>
    <row r="954" spans="1:14" x14ac:dyDescent="0.3">
      <c r="A954" t="s">
        <v>1141</v>
      </c>
      <c r="B954" s="2">
        <v>45996</v>
      </c>
      <c r="C954" t="s">
        <v>359</v>
      </c>
      <c r="D954" t="s">
        <v>40</v>
      </c>
      <c r="E954" t="s">
        <v>55</v>
      </c>
      <c r="F954" t="s">
        <v>18</v>
      </c>
      <c r="G954" t="s">
        <v>37</v>
      </c>
      <c r="H954">
        <v>6</v>
      </c>
      <c r="I954" s="3">
        <v>400</v>
      </c>
      <c r="J954" s="3">
        <v>650</v>
      </c>
      <c r="K954" s="3">
        <v>3900</v>
      </c>
      <c r="L954" s="3">
        <v>2400</v>
      </c>
      <c r="M954" s="3">
        <v>1500</v>
      </c>
      <c r="N954" s="5">
        <v>0.38461538461538458</v>
      </c>
    </row>
    <row r="955" spans="1:14" x14ac:dyDescent="0.3">
      <c r="A955" t="s">
        <v>1142</v>
      </c>
      <c r="B955" s="2">
        <v>45813</v>
      </c>
      <c r="C955" t="s">
        <v>149</v>
      </c>
      <c r="D955" t="s">
        <v>35</v>
      </c>
      <c r="E955" t="s">
        <v>36</v>
      </c>
      <c r="F955" t="s">
        <v>18</v>
      </c>
      <c r="G955" t="s">
        <v>37</v>
      </c>
      <c r="H955">
        <v>14</v>
      </c>
      <c r="I955" s="3">
        <v>400</v>
      </c>
      <c r="J955" s="3">
        <v>650</v>
      </c>
      <c r="K955" s="3">
        <v>9100</v>
      </c>
      <c r="L955" s="3">
        <v>5600</v>
      </c>
      <c r="M955" s="3">
        <v>3500</v>
      </c>
      <c r="N955" s="5">
        <v>0.38461538461538458</v>
      </c>
    </row>
    <row r="956" spans="1:14" x14ac:dyDescent="0.3">
      <c r="A956" t="s">
        <v>1143</v>
      </c>
      <c r="B956" s="2">
        <v>45779</v>
      </c>
      <c r="C956" t="s">
        <v>552</v>
      </c>
      <c r="D956" t="s">
        <v>35</v>
      </c>
      <c r="E956" t="s">
        <v>55</v>
      </c>
      <c r="F956" t="s">
        <v>18</v>
      </c>
      <c r="G956" t="s">
        <v>72</v>
      </c>
      <c r="H956">
        <v>15</v>
      </c>
      <c r="I956" s="3">
        <v>900</v>
      </c>
      <c r="J956" s="3">
        <v>1500</v>
      </c>
      <c r="K956" s="3">
        <v>22500</v>
      </c>
      <c r="L956" s="3">
        <v>13500</v>
      </c>
      <c r="M956" s="3">
        <v>9000</v>
      </c>
      <c r="N956" s="5">
        <v>0.4</v>
      </c>
    </row>
    <row r="957" spans="1:14" x14ac:dyDescent="0.3">
      <c r="A957" t="s">
        <v>1144</v>
      </c>
      <c r="B957" s="2">
        <v>45952</v>
      </c>
      <c r="C957" t="s">
        <v>123</v>
      </c>
      <c r="D957" t="s">
        <v>46</v>
      </c>
      <c r="E957" t="s">
        <v>28</v>
      </c>
      <c r="F957" t="s">
        <v>18</v>
      </c>
      <c r="G957" t="s">
        <v>72</v>
      </c>
      <c r="H957">
        <v>3</v>
      </c>
      <c r="I957" s="3">
        <v>900</v>
      </c>
      <c r="J957" s="3">
        <v>1500</v>
      </c>
      <c r="K957" s="3">
        <v>4500</v>
      </c>
      <c r="L957" s="3">
        <v>2700</v>
      </c>
      <c r="M957" s="3">
        <v>1800</v>
      </c>
      <c r="N957" s="5">
        <v>0.4</v>
      </c>
    </row>
    <row r="958" spans="1:14" x14ac:dyDescent="0.3">
      <c r="A958" t="s">
        <v>1145</v>
      </c>
      <c r="B958" s="2">
        <v>45946</v>
      </c>
      <c r="C958" t="s">
        <v>175</v>
      </c>
      <c r="D958" t="s">
        <v>16</v>
      </c>
      <c r="E958" t="s">
        <v>36</v>
      </c>
      <c r="F958" t="s">
        <v>41</v>
      </c>
      <c r="G958" t="s">
        <v>42</v>
      </c>
      <c r="H958">
        <v>12</v>
      </c>
      <c r="I958" s="3">
        <v>8500</v>
      </c>
      <c r="J958" s="3">
        <v>12000</v>
      </c>
      <c r="K958" s="3">
        <v>144000</v>
      </c>
      <c r="L958" s="3">
        <v>102000</v>
      </c>
      <c r="M958" s="3">
        <v>42000</v>
      </c>
      <c r="N958" s="5">
        <v>0.29166666666666669</v>
      </c>
    </row>
    <row r="959" spans="1:14" x14ac:dyDescent="0.3">
      <c r="A959" t="s">
        <v>1146</v>
      </c>
      <c r="B959" s="2">
        <v>45869</v>
      </c>
      <c r="C959" t="s">
        <v>52</v>
      </c>
      <c r="D959" t="s">
        <v>46</v>
      </c>
      <c r="E959" t="s">
        <v>32</v>
      </c>
      <c r="F959" t="s">
        <v>18</v>
      </c>
      <c r="G959" t="s">
        <v>72</v>
      </c>
      <c r="H959">
        <v>12</v>
      </c>
      <c r="I959" s="3">
        <v>900</v>
      </c>
      <c r="J959" s="3">
        <v>1500</v>
      </c>
      <c r="K959" s="3">
        <v>18000</v>
      </c>
      <c r="L959" s="3">
        <v>10800</v>
      </c>
      <c r="M959" s="3">
        <v>7200</v>
      </c>
      <c r="N959" s="5">
        <v>0.4</v>
      </c>
    </row>
    <row r="960" spans="1:14" x14ac:dyDescent="0.3">
      <c r="A960" t="s">
        <v>1147</v>
      </c>
      <c r="B960" s="2">
        <v>45718</v>
      </c>
      <c r="C960" t="s">
        <v>530</v>
      </c>
      <c r="D960" t="s">
        <v>35</v>
      </c>
      <c r="E960" t="s">
        <v>23</v>
      </c>
      <c r="F960" t="s">
        <v>24</v>
      </c>
      <c r="G960" t="s">
        <v>25</v>
      </c>
      <c r="H960">
        <v>11</v>
      </c>
      <c r="I960" s="3">
        <v>15000</v>
      </c>
      <c r="J960" s="3">
        <v>19500</v>
      </c>
      <c r="K960" s="3">
        <v>214500</v>
      </c>
      <c r="L960" s="3">
        <v>165000</v>
      </c>
      <c r="M960" s="3">
        <v>49500</v>
      </c>
      <c r="N960" s="5">
        <v>0.23076923076923081</v>
      </c>
    </row>
    <row r="961" spans="1:14" x14ac:dyDescent="0.3">
      <c r="A961" t="s">
        <v>1148</v>
      </c>
      <c r="B961" s="2">
        <v>45779</v>
      </c>
      <c r="C961" t="s">
        <v>305</v>
      </c>
      <c r="D961" t="s">
        <v>22</v>
      </c>
      <c r="E961" t="s">
        <v>36</v>
      </c>
      <c r="F961" t="s">
        <v>18</v>
      </c>
      <c r="G961" t="s">
        <v>60</v>
      </c>
      <c r="H961">
        <v>12</v>
      </c>
      <c r="I961" s="3">
        <v>1800</v>
      </c>
      <c r="J961" s="3">
        <v>2800</v>
      </c>
      <c r="K961" s="3">
        <v>33600</v>
      </c>
      <c r="L961" s="3">
        <v>21600</v>
      </c>
      <c r="M961" s="3">
        <v>12000</v>
      </c>
      <c r="N961" s="5">
        <v>0.35714285714285721</v>
      </c>
    </row>
    <row r="962" spans="1:14" x14ac:dyDescent="0.3">
      <c r="A962" t="s">
        <v>1149</v>
      </c>
      <c r="B962" s="2">
        <v>45937</v>
      </c>
      <c r="C962" t="s">
        <v>91</v>
      </c>
      <c r="D962" t="s">
        <v>46</v>
      </c>
      <c r="E962" t="s">
        <v>28</v>
      </c>
      <c r="F962" t="s">
        <v>18</v>
      </c>
      <c r="G962" t="s">
        <v>19</v>
      </c>
      <c r="H962">
        <v>17</v>
      </c>
      <c r="I962" s="3">
        <v>1800</v>
      </c>
      <c r="J962" s="3">
        <v>2600</v>
      </c>
      <c r="K962" s="3">
        <v>44200</v>
      </c>
      <c r="L962" s="3">
        <v>30600</v>
      </c>
      <c r="M962" s="3">
        <v>13600</v>
      </c>
      <c r="N962" s="5">
        <v>0.30769230769230771</v>
      </c>
    </row>
    <row r="963" spans="1:14" x14ac:dyDescent="0.3">
      <c r="A963" t="s">
        <v>1150</v>
      </c>
      <c r="B963" s="2">
        <v>45740</v>
      </c>
      <c r="C963" t="s">
        <v>95</v>
      </c>
      <c r="D963" t="s">
        <v>16</v>
      </c>
      <c r="E963" t="s">
        <v>55</v>
      </c>
      <c r="F963" t="s">
        <v>24</v>
      </c>
      <c r="G963" t="s">
        <v>63</v>
      </c>
      <c r="H963">
        <v>12</v>
      </c>
      <c r="I963" s="3">
        <v>42000</v>
      </c>
      <c r="J963" s="3">
        <v>55000</v>
      </c>
      <c r="K963" s="3">
        <v>660000</v>
      </c>
      <c r="L963" s="3">
        <v>504000</v>
      </c>
      <c r="M963" s="3">
        <v>156000</v>
      </c>
      <c r="N963" s="5">
        <v>0.23636363636363639</v>
      </c>
    </row>
    <row r="964" spans="1:14" x14ac:dyDescent="0.3">
      <c r="A964" t="s">
        <v>1151</v>
      </c>
      <c r="B964" s="2">
        <v>45992</v>
      </c>
      <c r="C964" t="s">
        <v>154</v>
      </c>
      <c r="D964" t="s">
        <v>46</v>
      </c>
      <c r="E964" t="s">
        <v>55</v>
      </c>
      <c r="F964" t="s">
        <v>24</v>
      </c>
      <c r="G964" t="s">
        <v>25</v>
      </c>
      <c r="H964">
        <v>19</v>
      </c>
      <c r="I964" s="3">
        <v>15000</v>
      </c>
      <c r="J964" s="3">
        <v>19500</v>
      </c>
      <c r="K964" s="3">
        <v>370500</v>
      </c>
      <c r="L964" s="3">
        <v>285000</v>
      </c>
      <c r="M964" s="3">
        <v>85500</v>
      </c>
      <c r="N964" s="5">
        <v>0.23076923076923081</v>
      </c>
    </row>
    <row r="965" spans="1:14" x14ac:dyDescent="0.3">
      <c r="A965" t="s">
        <v>1152</v>
      </c>
      <c r="B965" s="2">
        <v>45746</v>
      </c>
      <c r="C965" t="s">
        <v>119</v>
      </c>
      <c r="D965" t="s">
        <v>40</v>
      </c>
      <c r="E965" t="s">
        <v>36</v>
      </c>
      <c r="F965" t="s">
        <v>18</v>
      </c>
      <c r="G965" t="s">
        <v>37</v>
      </c>
      <c r="H965">
        <v>8</v>
      </c>
      <c r="I965" s="3">
        <v>400</v>
      </c>
      <c r="J965" s="3">
        <v>650</v>
      </c>
      <c r="K965" s="3">
        <v>5200</v>
      </c>
      <c r="L965" s="3">
        <v>3200</v>
      </c>
      <c r="M965" s="3">
        <v>2000</v>
      </c>
      <c r="N965" s="5">
        <v>0.38461538461538458</v>
      </c>
    </row>
    <row r="966" spans="1:14" x14ac:dyDescent="0.3">
      <c r="A966" t="s">
        <v>1153</v>
      </c>
      <c r="B966" s="2">
        <v>45670</v>
      </c>
      <c r="C966" t="s">
        <v>159</v>
      </c>
      <c r="D966" t="s">
        <v>46</v>
      </c>
      <c r="E966" t="s">
        <v>32</v>
      </c>
      <c r="F966" t="s">
        <v>18</v>
      </c>
      <c r="G966" t="s">
        <v>19</v>
      </c>
      <c r="H966">
        <v>17</v>
      </c>
      <c r="I966" s="3">
        <v>1800</v>
      </c>
      <c r="J966" s="3">
        <v>2600</v>
      </c>
      <c r="K966" s="3">
        <v>44200</v>
      </c>
      <c r="L966" s="3">
        <v>30600</v>
      </c>
      <c r="M966" s="3">
        <v>13600</v>
      </c>
      <c r="N966" s="5">
        <v>0.30769230769230771</v>
      </c>
    </row>
    <row r="967" spans="1:14" x14ac:dyDescent="0.3">
      <c r="A967" t="s">
        <v>1154</v>
      </c>
      <c r="B967" s="2">
        <v>45918</v>
      </c>
      <c r="C967" t="s">
        <v>487</v>
      </c>
      <c r="D967" t="s">
        <v>40</v>
      </c>
      <c r="E967" t="s">
        <v>28</v>
      </c>
      <c r="F967" t="s">
        <v>18</v>
      </c>
      <c r="G967" t="s">
        <v>76</v>
      </c>
      <c r="H967">
        <v>5</v>
      </c>
      <c r="I967" s="3">
        <v>2500</v>
      </c>
      <c r="J967" s="3">
        <v>3600</v>
      </c>
      <c r="K967" s="3">
        <v>18000</v>
      </c>
      <c r="L967" s="3">
        <v>12500</v>
      </c>
      <c r="M967" s="3">
        <v>5500</v>
      </c>
      <c r="N967" s="5">
        <v>0.30555555555555558</v>
      </c>
    </row>
    <row r="968" spans="1:14" x14ac:dyDescent="0.3">
      <c r="A968" t="s">
        <v>1155</v>
      </c>
      <c r="B968" s="2">
        <v>45813</v>
      </c>
      <c r="C968" t="s">
        <v>136</v>
      </c>
      <c r="D968" t="s">
        <v>46</v>
      </c>
      <c r="E968" t="s">
        <v>55</v>
      </c>
      <c r="F968" t="s">
        <v>18</v>
      </c>
      <c r="G968" t="s">
        <v>60</v>
      </c>
      <c r="H968">
        <v>11</v>
      </c>
      <c r="I968" s="3">
        <v>1800</v>
      </c>
      <c r="J968" s="3">
        <v>2800</v>
      </c>
      <c r="K968" s="3">
        <v>30800</v>
      </c>
      <c r="L968" s="3">
        <v>19800</v>
      </c>
      <c r="M968" s="3">
        <v>11000</v>
      </c>
      <c r="N968" s="5">
        <v>0.35714285714285721</v>
      </c>
    </row>
    <row r="969" spans="1:14" x14ac:dyDescent="0.3">
      <c r="A969" t="s">
        <v>1156</v>
      </c>
      <c r="B969" s="2">
        <v>45986</v>
      </c>
      <c r="C969" t="s">
        <v>369</v>
      </c>
      <c r="D969" t="s">
        <v>22</v>
      </c>
      <c r="E969" t="s">
        <v>17</v>
      </c>
      <c r="F969" t="s">
        <v>24</v>
      </c>
      <c r="G969" t="s">
        <v>29</v>
      </c>
      <c r="H969">
        <v>3</v>
      </c>
      <c r="I969" s="3">
        <v>12000</v>
      </c>
      <c r="J969" s="3">
        <v>16500</v>
      </c>
      <c r="K969" s="3">
        <v>49500</v>
      </c>
      <c r="L969" s="3">
        <v>36000</v>
      </c>
      <c r="M969" s="3">
        <v>13500</v>
      </c>
      <c r="N969" s="5">
        <v>0.27272727272727271</v>
      </c>
    </row>
    <row r="970" spans="1:14" x14ac:dyDescent="0.3">
      <c r="A970" t="s">
        <v>1157</v>
      </c>
      <c r="B970" s="2">
        <v>45965</v>
      </c>
      <c r="C970" t="s">
        <v>528</v>
      </c>
      <c r="D970" t="s">
        <v>40</v>
      </c>
      <c r="E970" t="s">
        <v>32</v>
      </c>
      <c r="F970" t="s">
        <v>18</v>
      </c>
      <c r="G970" t="s">
        <v>37</v>
      </c>
      <c r="H970">
        <v>2</v>
      </c>
      <c r="I970" s="3">
        <v>400</v>
      </c>
      <c r="J970" s="3">
        <v>650</v>
      </c>
      <c r="K970" s="3">
        <v>1300</v>
      </c>
      <c r="L970" s="3">
        <v>800</v>
      </c>
      <c r="M970" s="3">
        <v>500</v>
      </c>
      <c r="N970" s="5">
        <v>0.38461538461538458</v>
      </c>
    </row>
    <row r="971" spans="1:14" x14ac:dyDescent="0.3">
      <c r="A971" t="s">
        <v>1158</v>
      </c>
      <c r="B971" s="2">
        <v>45889</v>
      </c>
      <c r="C971" t="s">
        <v>71</v>
      </c>
      <c r="D971" t="s">
        <v>35</v>
      </c>
      <c r="E971" t="s">
        <v>32</v>
      </c>
      <c r="F971" t="s">
        <v>24</v>
      </c>
      <c r="G971" t="s">
        <v>25</v>
      </c>
      <c r="H971">
        <v>2</v>
      </c>
      <c r="I971" s="3">
        <v>15000</v>
      </c>
      <c r="J971" s="3">
        <v>19500</v>
      </c>
      <c r="K971" s="3">
        <v>39000</v>
      </c>
      <c r="L971" s="3">
        <v>30000</v>
      </c>
      <c r="M971" s="3">
        <v>9000</v>
      </c>
      <c r="N971" s="5">
        <v>0.23076923076923081</v>
      </c>
    </row>
    <row r="972" spans="1:14" x14ac:dyDescent="0.3">
      <c r="A972" t="s">
        <v>1159</v>
      </c>
      <c r="B972" s="2">
        <v>45971</v>
      </c>
      <c r="C972" t="s">
        <v>235</v>
      </c>
      <c r="D972" t="s">
        <v>22</v>
      </c>
      <c r="E972" t="s">
        <v>28</v>
      </c>
      <c r="F972" t="s">
        <v>24</v>
      </c>
      <c r="G972" t="s">
        <v>25</v>
      </c>
      <c r="H972">
        <v>6</v>
      </c>
      <c r="I972" s="3">
        <v>15000</v>
      </c>
      <c r="J972" s="3">
        <v>19500</v>
      </c>
      <c r="K972" s="3">
        <v>117000</v>
      </c>
      <c r="L972" s="3">
        <v>90000</v>
      </c>
      <c r="M972" s="3">
        <v>27000</v>
      </c>
      <c r="N972" s="5">
        <v>0.23076923076923081</v>
      </c>
    </row>
    <row r="973" spans="1:14" x14ac:dyDescent="0.3">
      <c r="A973" t="s">
        <v>1160</v>
      </c>
      <c r="B973" s="2">
        <v>45946</v>
      </c>
      <c r="C973" t="s">
        <v>461</v>
      </c>
      <c r="D973" t="s">
        <v>40</v>
      </c>
      <c r="E973" t="s">
        <v>23</v>
      </c>
      <c r="F973" t="s">
        <v>41</v>
      </c>
      <c r="G973" t="s">
        <v>42</v>
      </c>
      <c r="H973">
        <v>15</v>
      </c>
      <c r="I973" s="3">
        <v>8500</v>
      </c>
      <c r="J973" s="3">
        <v>12000</v>
      </c>
      <c r="K973" s="3">
        <v>180000</v>
      </c>
      <c r="L973" s="3">
        <v>127500</v>
      </c>
      <c r="M973" s="3">
        <v>52500</v>
      </c>
      <c r="N973" s="5">
        <v>0.29166666666666669</v>
      </c>
    </row>
    <row r="974" spans="1:14" x14ac:dyDescent="0.3">
      <c r="A974" t="s">
        <v>1161</v>
      </c>
      <c r="B974" s="2">
        <v>45903</v>
      </c>
      <c r="C974" t="s">
        <v>709</v>
      </c>
      <c r="D974" t="s">
        <v>22</v>
      </c>
      <c r="E974" t="s">
        <v>28</v>
      </c>
      <c r="F974" t="s">
        <v>18</v>
      </c>
      <c r="G974" t="s">
        <v>19</v>
      </c>
      <c r="H974">
        <v>6</v>
      </c>
      <c r="I974" s="3">
        <v>1800</v>
      </c>
      <c r="J974" s="3">
        <v>2600</v>
      </c>
      <c r="K974" s="3">
        <v>15600</v>
      </c>
      <c r="L974" s="3">
        <v>10800</v>
      </c>
      <c r="M974" s="3">
        <v>4800</v>
      </c>
      <c r="N974" s="5">
        <v>0.30769230769230771</v>
      </c>
    </row>
    <row r="975" spans="1:14" x14ac:dyDescent="0.3">
      <c r="A975" t="s">
        <v>1162</v>
      </c>
      <c r="B975" s="2">
        <v>45746</v>
      </c>
      <c r="C975" t="s">
        <v>643</v>
      </c>
      <c r="D975" t="s">
        <v>46</v>
      </c>
      <c r="E975" t="s">
        <v>55</v>
      </c>
      <c r="F975" t="s">
        <v>18</v>
      </c>
      <c r="G975" t="s">
        <v>76</v>
      </c>
      <c r="H975">
        <v>14</v>
      </c>
      <c r="I975" s="3">
        <v>2500</v>
      </c>
      <c r="J975" s="3">
        <v>3600</v>
      </c>
      <c r="K975" s="3">
        <v>50400</v>
      </c>
      <c r="L975" s="3">
        <v>35000</v>
      </c>
      <c r="M975" s="3">
        <v>15400</v>
      </c>
      <c r="N975" s="5">
        <v>0.30555555555555558</v>
      </c>
    </row>
    <row r="976" spans="1:14" x14ac:dyDescent="0.3">
      <c r="A976" t="s">
        <v>1163</v>
      </c>
      <c r="B976" s="2">
        <v>45661</v>
      </c>
      <c r="C976" t="s">
        <v>599</v>
      </c>
      <c r="D976" t="s">
        <v>22</v>
      </c>
      <c r="E976" t="s">
        <v>55</v>
      </c>
      <c r="F976" t="s">
        <v>18</v>
      </c>
      <c r="G976" t="s">
        <v>76</v>
      </c>
      <c r="H976">
        <v>8</v>
      </c>
      <c r="I976" s="3">
        <v>2500</v>
      </c>
      <c r="J976" s="3">
        <v>3600</v>
      </c>
      <c r="K976" s="3">
        <v>28800</v>
      </c>
      <c r="L976" s="3">
        <v>20000</v>
      </c>
      <c r="M976" s="3">
        <v>8800</v>
      </c>
      <c r="N976" s="5">
        <v>0.30555555555555558</v>
      </c>
    </row>
    <row r="977" spans="1:14" x14ac:dyDescent="0.3">
      <c r="A977" t="s">
        <v>1164</v>
      </c>
      <c r="B977" s="2">
        <v>45811</v>
      </c>
      <c r="C977" t="s">
        <v>178</v>
      </c>
      <c r="D977" t="s">
        <v>35</v>
      </c>
      <c r="E977" t="s">
        <v>55</v>
      </c>
      <c r="F977" t="s">
        <v>18</v>
      </c>
      <c r="G977" t="s">
        <v>19</v>
      </c>
      <c r="H977">
        <v>2</v>
      </c>
      <c r="I977" s="3">
        <v>1800</v>
      </c>
      <c r="J977" s="3">
        <v>2600</v>
      </c>
      <c r="K977" s="3">
        <v>5200</v>
      </c>
      <c r="L977" s="3">
        <v>3600</v>
      </c>
      <c r="M977" s="3">
        <v>1600</v>
      </c>
      <c r="N977" s="5">
        <v>0.30769230769230771</v>
      </c>
    </row>
    <row r="978" spans="1:14" x14ac:dyDescent="0.3">
      <c r="A978" t="s">
        <v>1165</v>
      </c>
      <c r="B978" s="2">
        <v>45923</v>
      </c>
      <c r="C978" t="s">
        <v>52</v>
      </c>
      <c r="D978" t="s">
        <v>40</v>
      </c>
      <c r="E978" t="s">
        <v>28</v>
      </c>
      <c r="F978" t="s">
        <v>24</v>
      </c>
      <c r="G978" t="s">
        <v>63</v>
      </c>
      <c r="H978">
        <v>13</v>
      </c>
      <c r="I978" s="3">
        <v>42000</v>
      </c>
      <c r="J978" s="3">
        <v>55000</v>
      </c>
      <c r="K978" s="3">
        <v>715000</v>
      </c>
      <c r="L978" s="3">
        <v>546000</v>
      </c>
      <c r="M978" s="3">
        <v>169000</v>
      </c>
      <c r="N978" s="5">
        <v>0.23636363636363639</v>
      </c>
    </row>
    <row r="979" spans="1:14" x14ac:dyDescent="0.3">
      <c r="A979" t="s">
        <v>1166</v>
      </c>
      <c r="B979" s="2">
        <v>45806</v>
      </c>
      <c r="C979" t="s">
        <v>27</v>
      </c>
      <c r="D979" t="s">
        <v>35</v>
      </c>
      <c r="E979" t="s">
        <v>23</v>
      </c>
      <c r="F979" t="s">
        <v>24</v>
      </c>
      <c r="G979" t="s">
        <v>29</v>
      </c>
      <c r="H979">
        <v>5</v>
      </c>
      <c r="I979" s="3">
        <v>12000</v>
      </c>
      <c r="J979" s="3">
        <v>16500</v>
      </c>
      <c r="K979" s="3">
        <v>82500</v>
      </c>
      <c r="L979" s="3">
        <v>60000</v>
      </c>
      <c r="M979" s="3">
        <v>22500</v>
      </c>
      <c r="N979" s="5">
        <v>0.27272727272727271</v>
      </c>
    </row>
    <row r="980" spans="1:14" x14ac:dyDescent="0.3">
      <c r="A980" t="s">
        <v>1167</v>
      </c>
      <c r="B980" s="2">
        <v>45819</v>
      </c>
      <c r="C980" t="s">
        <v>305</v>
      </c>
      <c r="D980" t="s">
        <v>35</v>
      </c>
      <c r="E980" t="s">
        <v>32</v>
      </c>
      <c r="F980" t="s">
        <v>18</v>
      </c>
      <c r="G980" t="s">
        <v>72</v>
      </c>
      <c r="H980">
        <v>13</v>
      </c>
      <c r="I980" s="3">
        <v>900</v>
      </c>
      <c r="J980" s="3">
        <v>1500</v>
      </c>
      <c r="K980" s="3">
        <v>19500</v>
      </c>
      <c r="L980" s="3">
        <v>11700</v>
      </c>
      <c r="M980" s="3">
        <v>7800</v>
      </c>
      <c r="N980" s="5">
        <v>0.4</v>
      </c>
    </row>
    <row r="981" spans="1:14" x14ac:dyDescent="0.3">
      <c r="A981" t="s">
        <v>1168</v>
      </c>
      <c r="B981" s="2">
        <v>46007</v>
      </c>
      <c r="C981" t="s">
        <v>186</v>
      </c>
      <c r="D981" t="s">
        <v>35</v>
      </c>
      <c r="E981" t="s">
        <v>55</v>
      </c>
      <c r="F981" t="s">
        <v>18</v>
      </c>
      <c r="G981" t="s">
        <v>37</v>
      </c>
      <c r="H981">
        <v>16</v>
      </c>
      <c r="I981" s="3">
        <v>400</v>
      </c>
      <c r="J981" s="3">
        <v>650</v>
      </c>
      <c r="K981" s="3">
        <v>10400</v>
      </c>
      <c r="L981" s="3">
        <v>6400</v>
      </c>
      <c r="M981" s="3">
        <v>4000</v>
      </c>
      <c r="N981" s="5">
        <v>0.38461538461538458</v>
      </c>
    </row>
    <row r="982" spans="1:14" x14ac:dyDescent="0.3">
      <c r="A982" t="s">
        <v>1169</v>
      </c>
      <c r="B982" s="2">
        <v>45686</v>
      </c>
      <c r="C982" t="s">
        <v>144</v>
      </c>
      <c r="D982" t="s">
        <v>40</v>
      </c>
      <c r="E982" t="s">
        <v>36</v>
      </c>
      <c r="F982" t="s">
        <v>24</v>
      </c>
      <c r="G982" t="s">
        <v>29</v>
      </c>
      <c r="H982">
        <v>3</v>
      </c>
      <c r="I982" s="3">
        <v>12000</v>
      </c>
      <c r="J982" s="3">
        <v>16500</v>
      </c>
      <c r="K982" s="3">
        <v>49500</v>
      </c>
      <c r="L982" s="3">
        <v>36000</v>
      </c>
      <c r="M982" s="3">
        <v>13500</v>
      </c>
      <c r="N982" s="5">
        <v>0.27272727272727271</v>
      </c>
    </row>
    <row r="983" spans="1:14" x14ac:dyDescent="0.3">
      <c r="A983" t="s">
        <v>1170</v>
      </c>
      <c r="B983" s="2">
        <v>45729</v>
      </c>
      <c r="C983" t="s">
        <v>133</v>
      </c>
      <c r="D983" t="s">
        <v>35</v>
      </c>
      <c r="E983" t="s">
        <v>36</v>
      </c>
      <c r="F983" t="s">
        <v>18</v>
      </c>
      <c r="G983" t="s">
        <v>37</v>
      </c>
      <c r="H983">
        <v>17</v>
      </c>
      <c r="I983" s="3">
        <v>400</v>
      </c>
      <c r="J983" s="3">
        <v>650</v>
      </c>
      <c r="K983" s="3">
        <v>11050</v>
      </c>
      <c r="L983" s="3">
        <v>6800</v>
      </c>
      <c r="M983" s="3">
        <v>4250</v>
      </c>
      <c r="N983" s="5">
        <v>0.38461538461538458</v>
      </c>
    </row>
    <row r="984" spans="1:14" x14ac:dyDescent="0.3">
      <c r="A984" t="s">
        <v>1171</v>
      </c>
      <c r="B984" s="2">
        <v>45974</v>
      </c>
      <c r="C984" t="s">
        <v>125</v>
      </c>
      <c r="D984" t="s">
        <v>16</v>
      </c>
      <c r="E984" t="s">
        <v>32</v>
      </c>
      <c r="F984" t="s">
        <v>24</v>
      </c>
      <c r="G984" t="s">
        <v>63</v>
      </c>
      <c r="H984">
        <v>1</v>
      </c>
      <c r="I984" s="3">
        <v>42000</v>
      </c>
      <c r="J984" s="3">
        <v>55000</v>
      </c>
      <c r="K984" s="3">
        <v>55000</v>
      </c>
      <c r="L984" s="3">
        <v>42000</v>
      </c>
      <c r="M984" s="3">
        <v>13000</v>
      </c>
      <c r="N984" s="5">
        <v>0.23636363636363639</v>
      </c>
    </row>
    <row r="985" spans="1:14" x14ac:dyDescent="0.3">
      <c r="A985" t="s">
        <v>1172</v>
      </c>
      <c r="B985" s="2">
        <v>45772</v>
      </c>
      <c r="C985" t="s">
        <v>272</v>
      </c>
      <c r="D985" t="s">
        <v>40</v>
      </c>
      <c r="E985" t="s">
        <v>55</v>
      </c>
      <c r="F985" t="s">
        <v>24</v>
      </c>
      <c r="G985" t="s">
        <v>25</v>
      </c>
      <c r="H985">
        <v>11</v>
      </c>
      <c r="I985" s="3">
        <v>15000</v>
      </c>
      <c r="J985" s="3">
        <v>19500</v>
      </c>
      <c r="K985" s="3">
        <v>214500</v>
      </c>
      <c r="L985" s="3">
        <v>165000</v>
      </c>
      <c r="M985" s="3">
        <v>49500</v>
      </c>
      <c r="N985" s="5">
        <v>0.23076923076923081</v>
      </c>
    </row>
    <row r="986" spans="1:14" x14ac:dyDescent="0.3">
      <c r="A986" t="s">
        <v>1173</v>
      </c>
      <c r="B986" s="2">
        <v>45754</v>
      </c>
      <c r="C986" t="s">
        <v>218</v>
      </c>
      <c r="D986" t="s">
        <v>46</v>
      </c>
      <c r="E986" t="s">
        <v>32</v>
      </c>
      <c r="F986" t="s">
        <v>18</v>
      </c>
      <c r="G986" t="s">
        <v>60</v>
      </c>
      <c r="H986">
        <v>12</v>
      </c>
      <c r="I986" s="3">
        <v>1800</v>
      </c>
      <c r="J986" s="3">
        <v>2800</v>
      </c>
      <c r="K986" s="3">
        <v>33600</v>
      </c>
      <c r="L986" s="3">
        <v>21600</v>
      </c>
      <c r="M986" s="3">
        <v>12000</v>
      </c>
      <c r="N986" s="5">
        <v>0.35714285714285721</v>
      </c>
    </row>
    <row r="987" spans="1:14" x14ac:dyDescent="0.3">
      <c r="A987" t="s">
        <v>1174</v>
      </c>
      <c r="B987" s="2">
        <v>45920</v>
      </c>
      <c r="C987" t="s">
        <v>27</v>
      </c>
      <c r="D987" t="s">
        <v>46</v>
      </c>
      <c r="E987" t="s">
        <v>17</v>
      </c>
      <c r="F987" t="s">
        <v>18</v>
      </c>
      <c r="G987" t="s">
        <v>72</v>
      </c>
      <c r="H987">
        <v>13</v>
      </c>
      <c r="I987" s="3">
        <v>900</v>
      </c>
      <c r="J987" s="3">
        <v>1500</v>
      </c>
      <c r="K987" s="3">
        <v>19500</v>
      </c>
      <c r="L987" s="3">
        <v>11700</v>
      </c>
      <c r="M987" s="3">
        <v>7800</v>
      </c>
      <c r="N987" s="5">
        <v>0.4</v>
      </c>
    </row>
    <row r="988" spans="1:14" x14ac:dyDescent="0.3">
      <c r="A988" t="s">
        <v>1175</v>
      </c>
      <c r="B988" s="2">
        <v>45987</v>
      </c>
      <c r="C988" t="s">
        <v>50</v>
      </c>
      <c r="D988" t="s">
        <v>35</v>
      </c>
      <c r="E988" t="s">
        <v>17</v>
      </c>
      <c r="F988" t="s">
        <v>24</v>
      </c>
      <c r="G988" t="s">
        <v>29</v>
      </c>
      <c r="H988">
        <v>13</v>
      </c>
      <c r="I988" s="3">
        <v>12000</v>
      </c>
      <c r="J988" s="3">
        <v>16500</v>
      </c>
      <c r="K988" s="3">
        <v>214500</v>
      </c>
      <c r="L988" s="3">
        <v>156000</v>
      </c>
      <c r="M988" s="3">
        <v>58500</v>
      </c>
      <c r="N988" s="5">
        <v>0.27272727272727271</v>
      </c>
    </row>
    <row r="989" spans="1:14" x14ac:dyDescent="0.3">
      <c r="A989" t="s">
        <v>1176</v>
      </c>
      <c r="B989" s="2">
        <v>45772</v>
      </c>
      <c r="C989" t="s">
        <v>255</v>
      </c>
      <c r="D989" t="s">
        <v>46</v>
      </c>
      <c r="E989" t="s">
        <v>36</v>
      </c>
      <c r="F989" t="s">
        <v>18</v>
      </c>
      <c r="G989" t="s">
        <v>76</v>
      </c>
      <c r="H989">
        <v>16</v>
      </c>
      <c r="I989" s="3">
        <v>2500</v>
      </c>
      <c r="J989" s="3">
        <v>3600</v>
      </c>
      <c r="K989" s="3">
        <v>57600</v>
      </c>
      <c r="L989" s="3">
        <v>40000</v>
      </c>
      <c r="M989" s="3">
        <v>17600</v>
      </c>
      <c r="N989" s="5">
        <v>0.30555555555555558</v>
      </c>
    </row>
    <row r="990" spans="1:14" x14ac:dyDescent="0.3">
      <c r="A990" t="s">
        <v>1177</v>
      </c>
      <c r="B990" s="2">
        <v>45703</v>
      </c>
      <c r="C990" t="s">
        <v>102</v>
      </c>
      <c r="D990" t="s">
        <v>16</v>
      </c>
      <c r="E990" t="s">
        <v>55</v>
      </c>
      <c r="F990" t="s">
        <v>18</v>
      </c>
      <c r="G990" t="s">
        <v>37</v>
      </c>
      <c r="H990">
        <v>14</v>
      </c>
      <c r="I990" s="3">
        <v>400</v>
      </c>
      <c r="J990" s="3">
        <v>650</v>
      </c>
      <c r="K990" s="3">
        <v>9100</v>
      </c>
      <c r="L990" s="3">
        <v>5600</v>
      </c>
      <c r="M990" s="3">
        <v>3500</v>
      </c>
      <c r="N990" s="5">
        <v>0.38461538461538458</v>
      </c>
    </row>
    <row r="991" spans="1:14" x14ac:dyDescent="0.3">
      <c r="A991" t="s">
        <v>1178</v>
      </c>
      <c r="B991" s="2">
        <v>45796</v>
      </c>
      <c r="C991" t="s">
        <v>276</v>
      </c>
      <c r="D991" t="s">
        <v>16</v>
      </c>
      <c r="E991" t="s">
        <v>17</v>
      </c>
      <c r="F991" t="s">
        <v>18</v>
      </c>
      <c r="G991" t="s">
        <v>76</v>
      </c>
      <c r="H991">
        <v>4</v>
      </c>
      <c r="I991" s="3">
        <v>2500</v>
      </c>
      <c r="J991" s="3">
        <v>3600</v>
      </c>
      <c r="K991" s="3">
        <v>14400</v>
      </c>
      <c r="L991" s="3">
        <v>10000</v>
      </c>
      <c r="M991" s="3">
        <v>4400</v>
      </c>
      <c r="N991" s="5">
        <v>0.30555555555555558</v>
      </c>
    </row>
    <row r="992" spans="1:14" x14ac:dyDescent="0.3">
      <c r="A992" t="s">
        <v>1179</v>
      </c>
      <c r="B992" s="2">
        <v>45964</v>
      </c>
      <c r="C992" t="s">
        <v>252</v>
      </c>
      <c r="D992" t="s">
        <v>16</v>
      </c>
      <c r="E992" t="s">
        <v>55</v>
      </c>
      <c r="F992" t="s">
        <v>18</v>
      </c>
      <c r="G992" t="s">
        <v>60</v>
      </c>
      <c r="H992">
        <v>9</v>
      </c>
      <c r="I992" s="3">
        <v>1800</v>
      </c>
      <c r="J992" s="3">
        <v>2800</v>
      </c>
      <c r="K992" s="3">
        <v>25200</v>
      </c>
      <c r="L992" s="3">
        <v>16200</v>
      </c>
      <c r="M992" s="3">
        <v>9000</v>
      </c>
      <c r="N992" s="5">
        <v>0.35714285714285721</v>
      </c>
    </row>
    <row r="993" spans="1:14" x14ac:dyDescent="0.3">
      <c r="A993" t="s">
        <v>1180</v>
      </c>
      <c r="B993" s="2">
        <v>45700</v>
      </c>
      <c r="C993" t="s">
        <v>142</v>
      </c>
      <c r="D993" t="s">
        <v>16</v>
      </c>
      <c r="E993" t="s">
        <v>32</v>
      </c>
      <c r="F993" t="s">
        <v>47</v>
      </c>
      <c r="G993" t="s">
        <v>48</v>
      </c>
      <c r="H993">
        <v>12</v>
      </c>
      <c r="I993" s="3">
        <v>2800</v>
      </c>
      <c r="J993" s="3">
        <v>4200</v>
      </c>
      <c r="K993" s="3">
        <v>50400</v>
      </c>
      <c r="L993" s="3">
        <v>33600</v>
      </c>
      <c r="M993" s="3">
        <v>16800</v>
      </c>
      <c r="N993" s="5">
        <v>0.33333333333333331</v>
      </c>
    </row>
    <row r="994" spans="1:14" x14ac:dyDescent="0.3">
      <c r="A994" t="s">
        <v>1181</v>
      </c>
      <c r="B994" s="2">
        <v>45890</v>
      </c>
      <c r="C994" t="s">
        <v>131</v>
      </c>
      <c r="D994" t="s">
        <v>46</v>
      </c>
      <c r="E994" t="s">
        <v>17</v>
      </c>
      <c r="F994" t="s">
        <v>24</v>
      </c>
      <c r="G994" t="s">
        <v>25</v>
      </c>
      <c r="H994">
        <v>5</v>
      </c>
      <c r="I994" s="3">
        <v>15000</v>
      </c>
      <c r="J994" s="3">
        <v>19500</v>
      </c>
      <c r="K994" s="3">
        <v>97500</v>
      </c>
      <c r="L994" s="3">
        <v>75000</v>
      </c>
      <c r="M994" s="3">
        <v>22500</v>
      </c>
      <c r="N994" s="5">
        <v>0.23076923076923081</v>
      </c>
    </row>
    <row r="995" spans="1:14" x14ac:dyDescent="0.3">
      <c r="A995" t="s">
        <v>1182</v>
      </c>
      <c r="B995" s="2">
        <v>45951</v>
      </c>
      <c r="C995" t="s">
        <v>71</v>
      </c>
      <c r="D995" t="s">
        <v>46</v>
      </c>
      <c r="E995" t="s">
        <v>36</v>
      </c>
      <c r="F995" t="s">
        <v>41</v>
      </c>
      <c r="G995" t="s">
        <v>42</v>
      </c>
      <c r="H995">
        <v>15</v>
      </c>
      <c r="I995" s="3">
        <v>8500</v>
      </c>
      <c r="J995" s="3">
        <v>12000</v>
      </c>
      <c r="K995" s="3">
        <v>180000</v>
      </c>
      <c r="L995" s="3">
        <v>127500</v>
      </c>
      <c r="M995" s="3">
        <v>52500</v>
      </c>
      <c r="N995" s="5">
        <v>0.29166666666666669</v>
      </c>
    </row>
    <row r="996" spans="1:14" x14ac:dyDescent="0.3">
      <c r="A996" t="s">
        <v>1183</v>
      </c>
      <c r="B996" s="2">
        <v>45706</v>
      </c>
      <c r="C996" t="s">
        <v>136</v>
      </c>
      <c r="D996" t="s">
        <v>16</v>
      </c>
      <c r="E996" t="s">
        <v>36</v>
      </c>
      <c r="F996" t="s">
        <v>18</v>
      </c>
      <c r="G996" t="s">
        <v>60</v>
      </c>
      <c r="H996">
        <v>19</v>
      </c>
      <c r="I996" s="3">
        <v>1800</v>
      </c>
      <c r="J996" s="3">
        <v>2800</v>
      </c>
      <c r="K996" s="3">
        <v>53200</v>
      </c>
      <c r="L996" s="3">
        <v>34200</v>
      </c>
      <c r="M996" s="3">
        <v>19000</v>
      </c>
      <c r="N996" s="5">
        <v>0.35714285714285721</v>
      </c>
    </row>
    <row r="997" spans="1:14" x14ac:dyDescent="0.3">
      <c r="A997" t="s">
        <v>1184</v>
      </c>
      <c r="B997" s="2">
        <v>45850</v>
      </c>
      <c r="C997" t="s">
        <v>461</v>
      </c>
      <c r="D997" t="s">
        <v>46</v>
      </c>
      <c r="E997" t="s">
        <v>28</v>
      </c>
      <c r="F997" t="s">
        <v>18</v>
      </c>
      <c r="G997" t="s">
        <v>19</v>
      </c>
      <c r="H997">
        <v>14</v>
      </c>
      <c r="I997" s="3">
        <v>1800</v>
      </c>
      <c r="J997" s="3">
        <v>2600</v>
      </c>
      <c r="K997" s="3">
        <v>36400</v>
      </c>
      <c r="L997" s="3">
        <v>25200</v>
      </c>
      <c r="M997" s="3">
        <v>11200</v>
      </c>
      <c r="N997" s="5">
        <v>0.30769230769230771</v>
      </c>
    </row>
    <row r="998" spans="1:14" x14ac:dyDescent="0.3">
      <c r="A998" t="s">
        <v>1185</v>
      </c>
      <c r="B998" s="2">
        <v>45913</v>
      </c>
      <c r="C998" t="s">
        <v>57</v>
      </c>
      <c r="D998" t="s">
        <v>22</v>
      </c>
      <c r="E998" t="s">
        <v>17</v>
      </c>
      <c r="F998" t="s">
        <v>41</v>
      </c>
      <c r="G998" t="s">
        <v>42</v>
      </c>
      <c r="H998">
        <v>14</v>
      </c>
      <c r="I998" s="3">
        <v>8500</v>
      </c>
      <c r="J998" s="3">
        <v>12000</v>
      </c>
      <c r="K998" s="3">
        <v>168000</v>
      </c>
      <c r="L998" s="3">
        <v>119000</v>
      </c>
      <c r="M998" s="3">
        <v>49000</v>
      </c>
      <c r="N998" s="5">
        <v>0.29166666666666669</v>
      </c>
    </row>
    <row r="999" spans="1:14" x14ac:dyDescent="0.3">
      <c r="A999" t="s">
        <v>1186</v>
      </c>
      <c r="B999" s="2">
        <v>45800</v>
      </c>
      <c r="C999" t="s">
        <v>131</v>
      </c>
      <c r="D999" t="s">
        <v>16</v>
      </c>
      <c r="E999" t="s">
        <v>36</v>
      </c>
      <c r="F999" t="s">
        <v>18</v>
      </c>
      <c r="G999" t="s">
        <v>19</v>
      </c>
      <c r="H999">
        <v>5</v>
      </c>
      <c r="I999" s="3">
        <v>1800</v>
      </c>
      <c r="J999" s="3">
        <v>2600</v>
      </c>
      <c r="K999" s="3">
        <v>13000</v>
      </c>
      <c r="L999" s="3">
        <v>9000</v>
      </c>
      <c r="M999" s="3">
        <v>4000</v>
      </c>
      <c r="N999" s="5">
        <v>0.30769230769230771</v>
      </c>
    </row>
    <row r="1000" spans="1:14" x14ac:dyDescent="0.3">
      <c r="A1000" t="s">
        <v>1187</v>
      </c>
      <c r="B1000" s="2">
        <v>45708</v>
      </c>
      <c r="C1000" t="s">
        <v>369</v>
      </c>
      <c r="D1000" t="s">
        <v>16</v>
      </c>
      <c r="E1000" t="s">
        <v>17</v>
      </c>
      <c r="F1000" t="s">
        <v>18</v>
      </c>
      <c r="G1000" t="s">
        <v>76</v>
      </c>
      <c r="H1000">
        <v>19</v>
      </c>
      <c r="I1000" s="3">
        <v>2500</v>
      </c>
      <c r="J1000" s="3">
        <v>3600</v>
      </c>
      <c r="K1000" s="3">
        <v>68400</v>
      </c>
      <c r="L1000" s="3">
        <v>47500</v>
      </c>
      <c r="M1000" s="3">
        <v>20900</v>
      </c>
      <c r="N1000" s="5">
        <v>0.30555555555555558</v>
      </c>
    </row>
    <row r="1001" spans="1:14" x14ac:dyDescent="0.3">
      <c r="A1001" t="s">
        <v>1188</v>
      </c>
      <c r="B1001" s="2">
        <v>45846</v>
      </c>
      <c r="C1001" t="s">
        <v>197</v>
      </c>
      <c r="D1001" t="s">
        <v>22</v>
      </c>
      <c r="E1001" t="s">
        <v>17</v>
      </c>
      <c r="F1001" t="s">
        <v>24</v>
      </c>
      <c r="G1001" t="s">
        <v>63</v>
      </c>
      <c r="H1001">
        <v>2</v>
      </c>
      <c r="I1001" s="3">
        <v>42000</v>
      </c>
      <c r="J1001" s="3">
        <v>55000</v>
      </c>
      <c r="K1001" s="3">
        <v>110000</v>
      </c>
      <c r="L1001" s="3">
        <v>84000</v>
      </c>
      <c r="M1001" s="3">
        <v>26000</v>
      </c>
      <c r="N1001" s="5">
        <v>0.23636363636363639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EF3E5-7F54-4C6A-829C-F1EABAEEE993}">
  <dimension ref="A3:B17"/>
  <sheetViews>
    <sheetView workbookViewId="0">
      <selection activeCell="A5" sqref="A5"/>
    </sheetView>
  </sheetViews>
  <sheetFormatPr defaultRowHeight="14.4" x14ac:dyDescent="0.3"/>
  <cols>
    <col min="1" max="1" width="12.5546875" bestFit="1" customWidth="1"/>
    <col min="2" max="2" width="15.77734375" bestFit="1" customWidth="1"/>
    <col min="3" max="27" width="9.5546875" bestFit="1" customWidth="1"/>
    <col min="28" max="115" width="10.5546875" bestFit="1" customWidth="1"/>
    <col min="116" max="166" width="12.109375" bestFit="1" customWidth="1"/>
    <col min="167" max="168" width="13.21875" bestFit="1" customWidth="1"/>
    <col min="169" max="169" width="10.77734375" bestFit="1" customWidth="1"/>
  </cols>
  <sheetData>
    <row r="3" spans="1:2" x14ac:dyDescent="0.3">
      <c r="A3" s="6" t="s">
        <v>1189</v>
      </c>
      <c r="B3" t="s">
        <v>1203</v>
      </c>
    </row>
    <row r="4" spans="1:2" x14ac:dyDescent="0.3">
      <c r="A4" s="7" t="s">
        <v>1204</v>
      </c>
      <c r="B4" s="3">
        <v>112482650</v>
      </c>
    </row>
    <row r="5" spans="1:2" x14ac:dyDescent="0.3">
      <c r="A5" s="8" t="s">
        <v>1191</v>
      </c>
      <c r="B5" s="3">
        <v>9623200</v>
      </c>
    </row>
    <row r="6" spans="1:2" x14ac:dyDescent="0.3">
      <c r="A6" s="8" t="s">
        <v>1192</v>
      </c>
      <c r="B6" s="3">
        <v>11330600</v>
      </c>
    </row>
    <row r="7" spans="1:2" x14ac:dyDescent="0.3">
      <c r="A7" s="8" t="s">
        <v>1193</v>
      </c>
      <c r="B7" s="3">
        <v>10319650</v>
      </c>
    </row>
    <row r="8" spans="1:2" x14ac:dyDescent="0.3">
      <c r="A8" s="8" t="s">
        <v>1194</v>
      </c>
      <c r="B8" s="3">
        <v>6598400</v>
      </c>
    </row>
    <row r="9" spans="1:2" x14ac:dyDescent="0.3">
      <c r="A9" s="8" t="s">
        <v>1195</v>
      </c>
      <c r="B9" s="3">
        <v>9696600</v>
      </c>
    </row>
    <row r="10" spans="1:2" x14ac:dyDescent="0.3">
      <c r="A10" s="8" t="s">
        <v>1196</v>
      </c>
      <c r="B10" s="3">
        <v>7728500</v>
      </c>
    </row>
    <row r="11" spans="1:2" x14ac:dyDescent="0.3">
      <c r="A11" s="8" t="s">
        <v>1197</v>
      </c>
      <c r="B11" s="3">
        <v>8440250</v>
      </c>
    </row>
    <row r="12" spans="1:2" x14ac:dyDescent="0.3">
      <c r="A12" s="8" t="s">
        <v>1198</v>
      </c>
      <c r="B12" s="3">
        <v>9536100</v>
      </c>
    </row>
    <row r="13" spans="1:2" x14ac:dyDescent="0.3">
      <c r="A13" s="8" t="s">
        <v>1199</v>
      </c>
      <c r="B13" s="3">
        <v>12338000</v>
      </c>
    </row>
    <row r="14" spans="1:2" x14ac:dyDescent="0.3">
      <c r="A14" s="8" t="s">
        <v>1200</v>
      </c>
      <c r="B14" s="3">
        <v>9975000</v>
      </c>
    </row>
    <row r="15" spans="1:2" x14ac:dyDescent="0.3">
      <c r="A15" s="8" t="s">
        <v>1201</v>
      </c>
      <c r="B15" s="3">
        <v>10123700</v>
      </c>
    </row>
    <row r="16" spans="1:2" x14ac:dyDescent="0.3">
      <c r="A16" s="8" t="s">
        <v>1202</v>
      </c>
      <c r="B16" s="3">
        <v>6772650</v>
      </c>
    </row>
    <row r="17" spans="1:2" x14ac:dyDescent="0.3">
      <c r="A17" s="7" t="s">
        <v>1190</v>
      </c>
      <c r="B17" s="3">
        <v>112482650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BC556-3620-4656-8602-D3203339D6EF}">
  <dimension ref="A3:B9"/>
  <sheetViews>
    <sheetView workbookViewId="0">
      <selection activeCell="A4" sqref="A4"/>
    </sheetView>
  </sheetViews>
  <sheetFormatPr defaultRowHeight="14.4" x14ac:dyDescent="0.3"/>
  <cols>
    <col min="1" max="1" width="12.5546875" bestFit="1" customWidth="1"/>
    <col min="2" max="2" width="14.77734375" bestFit="1" customWidth="1"/>
  </cols>
  <sheetData>
    <row r="3" spans="1:2" x14ac:dyDescent="0.3">
      <c r="A3" s="6" t="s">
        <v>1189</v>
      </c>
      <c r="B3" t="s">
        <v>1205</v>
      </c>
    </row>
    <row r="4" spans="1:2" x14ac:dyDescent="0.3">
      <c r="A4" s="7" t="s">
        <v>35</v>
      </c>
      <c r="B4" s="3">
        <v>5328700</v>
      </c>
    </row>
    <row r="5" spans="1:2" x14ac:dyDescent="0.3">
      <c r="A5" s="7" t="s">
        <v>16</v>
      </c>
      <c r="B5" s="3">
        <v>6331900</v>
      </c>
    </row>
    <row r="6" spans="1:2" x14ac:dyDescent="0.3">
      <c r="A6" s="7" t="s">
        <v>40</v>
      </c>
      <c r="B6" s="3">
        <v>5327200</v>
      </c>
    </row>
    <row r="7" spans="1:2" x14ac:dyDescent="0.3">
      <c r="A7" s="7" t="s">
        <v>46</v>
      </c>
      <c r="B7" s="3">
        <v>6535400</v>
      </c>
    </row>
    <row r="8" spans="1:2" x14ac:dyDescent="0.3">
      <c r="A8" s="7" t="s">
        <v>22</v>
      </c>
      <c r="B8" s="3">
        <v>6100350</v>
      </c>
    </row>
    <row r="9" spans="1:2" x14ac:dyDescent="0.3">
      <c r="A9" s="7" t="s">
        <v>1190</v>
      </c>
      <c r="B9" s="3">
        <v>29623550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0E1A1-C0EA-4257-9A95-3DDF41FF0662}">
  <dimension ref="A3:B8"/>
  <sheetViews>
    <sheetView workbookViewId="0">
      <selection activeCell="A4" sqref="A4"/>
    </sheetView>
  </sheetViews>
  <sheetFormatPr defaultRowHeight="14.4" x14ac:dyDescent="0.3"/>
  <cols>
    <col min="1" max="1" width="12.5546875" bestFit="1" customWidth="1"/>
    <col min="2" max="2" width="15.77734375" bestFit="1" customWidth="1"/>
  </cols>
  <sheetData>
    <row r="3" spans="1:2" x14ac:dyDescent="0.3">
      <c r="A3" s="6" t="s">
        <v>1189</v>
      </c>
      <c r="B3" t="s">
        <v>1203</v>
      </c>
    </row>
    <row r="4" spans="1:2" x14ac:dyDescent="0.3">
      <c r="A4" s="7" t="s">
        <v>18</v>
      </c>
      <c r="B4" s="3">
        <v>12210550</v>
      </c>
    </row>
    <row r="5" spans="1:2" x14ac:dyDescent="0.3">
      <c r="A5" s="7" t="s">
        <v>24</v>
      </c>
      <c r="B5" s="3">
        <v>82004500</v>
      </c>
    </row>
    <row r="6" spans="1:2" x14ac:dyDescent="0.3">
      <c r="A6" s="7" t="s">
        <v>41</v>
      </c>
      <c r="B6" s="3">
        <v>13908000</v>
      </c>
    </row>
    <row r="7" spans="1:2" x14ac:dyDescent="0.3">
      <c r="A7" s="7" t="s">
        <v>47</v>
      </c>
      <c r="B7" s="3">
        <v>4359600</v>
      </c>
    </row>
    <row r="8" spans="1:2" x14ac:dyDescent="0.3">
      <c r="A8" s="7" t="s">
        <v>1190</v>
      </c>
      <c r="B8" s="3">
        <v>112482650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Top Products</vt:lpstr>
      <vt:lpstr>Revenue by Salesperson</vt:lpstr>
      <vt:lpstr>Dashboard</vt:lpstr>
      <vt:lpstr>SalesData</vt:lpstr>
      <vt:lpstr>Revenue by month</vt:lpstr>
      <vt:lpstr>Profit by region</vt:lpstr>
      <vt:lpstr>Sales by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Lydia Ladzzz✝️💜✨</cp:lastModifiedBy>
  <dcterms:created xsi:type="dcterms:W3CDTF">2026-07-21T08:38:43Z</dcterms:created>
  <dcterms:modified xsi:type="dcterms:W3CDTF">2026-07-24T06:36:01Z</dcterms:modified>
</cp:coreProperties>
</file>